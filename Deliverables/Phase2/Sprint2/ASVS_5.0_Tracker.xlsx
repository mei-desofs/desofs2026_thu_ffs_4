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mc:AlternateContent xmlns:mc="http://schemas.openxmlformats.org/markup-compatibility/2006">
    <mc:Choice Requires="x15">
      <x15ac:absPath xmlns:x15ac="http://schemas.microsoft.com/office/spreadsheetml/2010/11/ac" url="https://myisepipp-my.sharepoint.com/personal/1190902_isep_ipp_pt/Documents/"/>
    </mc:Choice>
  </mc:AlternateContent>
  <xr:revisionPtr revIDLastSave="0" documentId="8_{CE599770-FC6E-49FE-A0A0-F76D60CD105F}" xr6:coauthVersionLast="47" xr6:coauthVersionMax="47" xr10:uidLastSave="{00000000-0000-0000-0000-000000000000}"/>
  <bookViews>
    <workbookView xWindow="-120" yWindow="-120" windowWidth="29040" windowHeight="15720" tabRatio="809" firstSheet="3" xr2:uid="{00000000-000D-0000-FFFF-FFFF00000000}"/>
  </bookViews>
  <sheets>
    <sheet name="Summary" sheetId="1" r:id="rId1"/>
    <sheet name="V1 - Encoding and Sanitization" sheetId="2" r:id="rId2"/>
    <sheet name="V2 - Validation and Business Lo" sheetId="3" r:id="rId3"/>
    <sheet name="V3 - Web Frontend Security" sheetId="4" r:id="rId4"/>
    <sheet name="V4 - API and Web Service" sheetId="5" r:id="rId5"/>
    <sheet name="V5 - File Handling" sheetId="6" r:id="rId6"/>
    <sheet name="V6 - Authentication" sheetId="7" r:id="rId7"/>
    <sheet name="V7 - Session Management" sheetId="8" r:id="rId8"/>
    <sheet name="V8 - Authorization" sheetId="9" r:id="rId9"/>
    <sheet name="V9 - Self-contained Tokens" sheetId="10" r:id="rId10"/>
    <sheet name="V10 - OAuth and OIDC" sheetId="11" r:id="rId11"/>
    <sheet name="V11 - Cryptography" sheetId="12" r:id="rId12"/>
    <sheet name="V12 - Secure Communication" sheetId="13" r:id="rId13"/>
    <sheet name="V13 - Configuration" sheetId="14" r:id="rId14"/>
    <sheet name="V14 - Data Protection" sheetId="15" r:id="rId15"/>
    <sheet name="V15 - Secure Coding and Archite" sheetId="16" r:id="rId16"/>
    <sheet name="V16 - Security Logging and Erro" sheetId="17" r:id="rId17"/>
    <sheet name="V17 - WebRTC" sheetId="18" r:id="rId18"/>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23" i="1" l="1"/>
  <c r="F23" i="1"/>
  <c r="C23" i="1"/>
  <c r="B23" i="1"/>
  <c r="L22" i="1"/>
  <c r="M22" i="1" s="1"/>
  <c r="J22" i="1"/>
  <c r="K22" i="1" s="1"/>
  <c r="G22" i="1"/>
  <c r="H22" i="1" s="1"/>
  <c r="L21" i="1"/>
  <c r="M21" i="1" s="1"/>
  <c r="J21" i="1"/>
  <c r="K21" i="1" s="1"/>
  <c r="G21" i="1"/>
  <c r="H21" i="1" s="1"/>
  <c r="L20" i="1"/>
  <c r="M20" i="1" s="1"/>
  <c r="J20" i="1"/>
  <c r="K20" i="1" s="1"/>
  <c r="G20" i="1"/>
  <c r="H20" i="1" s="1"/>
  <c r="D20" i="1"/>
  <c r="E20" i="1" s="1"/>
  <c r="L19" i="1"/>
  <c r="M19" i="1" s="1"/>
  <c r="J19" i="1"/>
  <c r="K19" i="1" s="1"/>
  <c r="G19" i="1"/>
  <c r="H19" i="1" s="1"/>
  <c r="D19" i="1"/>
  <c r="E19" i="1" s="1"/>
  <c r="M18" i="1"/>
  <c r="L18" i="1"/>
  <c r="J18" i="1"/>
  <c r="K18" i="1" s="1"/>
  <c r="G18" i="1"/>
  <c r="H18" i="1" s="1"/>
  <c r="D18" i="1"/>
  <c r="E18" i="1" s="1"/>
  <c r="L17" i="1"/>
  <c r="M17" i="1" s="1"/>
  <c r="J17" i="1"/>
  <c r="K17" i="1" s="1"/>
  <c r="G17" i="1"/>
  <c r="H17" i="1" s="1"/>
  <c r="D17" i="1"/>
  <c r="E17" i="1" s="1"/>
  <c r="L16" i="1"/>
  <c r="M16" i="1" s="1"/>
  <c r="J16" i="1"/>
  <c r="K16" i="1" s="1"/>
  <c r="G16" i="1"/>
  <c r="H16" i="1" s="1"/>
  <c r="D16" i="1"/>
  <c r="E16" i="1" s="1"/>
  <c r="L15" i="1"/>
  <c r="M15" i="1" s="1"/>
  <c r="J15" i="1"/>
  <c r="K15" i="1" s="1"/>
  <c r="G15" i="1"/>
  <c r="H15" i="1" s="1"/>
  <c r="D15" i="1"/>
  <c r="E15" i="1" s="1"/>
  <c r="L14" i="1"/>
  <c r="M14" i="1" s="1"/>
  <c r="G14" i="1"/>
  <c r="H14" i="1" s="1"/>
  <c r="D14" i="1"/>
  <c r="E14" i="1" s="1"/>
  <c r="L13" i="1"/>
  <c r="M13" i="1" s="1"/>
  <c r="J13" i="1"/>
  <c r="K13" i="1" s="1"/>
  <c r="G13" i="1"/>
  <c r="H13" i="1" s="1"/>
  <c r="D13" i="1"/>
  <c r="E13" i="1" s="1"/>
  <c r="L12" i="1"/>
  <c r="M12" i="1" s="1"/>
  <c r="J12" i="1"/>
  <c r="K12" i="1" s="1"/>
  <c r="G12" i="1"/>
  <c r="H12" i="1" s="1"/>
  <c r="D12" i="1"/>
  <c r="E12" i="1" s="1"/>
  <c r="L11" i="1"/>
  <c r="M11" i="1" s="1"/>
  <c r="J11" i="1"/>
  <c r="K11" i="1" s="1"/>
  <c r="G11" i="1"/>
  <c r="H11" i="1" s="1"/>
  <c r="D11" i="1"/>
  <c r="E11" i="1" s="1"/>
  <c r="L10" i="1"/>
  <c r="M10" i="1" s="1"/>
  <c r="J10" i="1"/>
  <c r="K10" i="1" s="1"/>
  <c r="G10" i="1"/>
  <c r="D10" i="1"/>
  <c r="E10" i="1" s="1"/>
  <c r="L9" i="1"/>
  <c r="M9" i="1" s="1"/>
  <c r="J9" i="1"/>
  <c r="K9" i="1" s="1"/>
  <c r="G9" i="1"/>
  <c r="H9" i="1" s="1"/>
  <c r="D9" i="1"/>
  <c r="E9" i="1" s="1"/>
  <c r="L8" i="1"/>
  <c r="M8" i="1" s="1"/>
  <c r="J8" i="1"/>
  <c r="K8" i="1" s="1"/>
  <c r="G8" i="1"/>
  <c r="H8" i="1" s="1"/>
  <c r="D8" i="1"/>
  <c r="E8" i="1" s="1"/>
  <c r="L7" i="1"/>
  <c r="M7" i="1" s="1"/>
  <c r="J7" i="1"/>
  <c r="K7" i="1" s="1"/>
  <c r="G7" i="1"/>
  <c r="H7" i="1" s="1"/>
  <c r="D7" i="1"/>
  <c r="E7" i="1" s="1"/>
  <c r="L6" i="1"/>
  <c r="J6" i="1"/>
  <c r="G6" i="1"/>
  <c r="H6" i="1" s="1"/>
  <c r="D6" i="1"/>
  <c r="L23" i="1" l="1"/>
  <c r="J23" i="1"/>
  <c r="D23" i="1"/>
  <c r="G23" i="1"/>
  <c r="E6" i="1"/>
  <c r="E23" i="1"/>
  <c r="K6" i="1"/>
  <c r="K23" i="1" s="1"/>
  <c r="M6" i="1"/>
  <c r="M23" i="1" s="1"/>
  <c r="H10" i="1"/>
  <c r="H23" i="1" s="1"/>
</calcChain>
</file>

<file path=xl/sharedStrings.xml><?xml version="1.0" encoding="utf-8"?>
<sst xmlns="http://schemas.openxmlformats.org/spreadsheetml/2006/main" count="2400" uniqueCount="1189">
  <si>
    <t>OWASP ASVS 5.0 – Compliance Tracker</t>
  </si>
  <si>
    <t>Chapter</t>
  </si>
  <si>
    <t>Total
Reqs</t>
  </si>
  <si>
    <t>L1
Total</t>
  </si>
  <si>
    <t>L1
Compliant</t>
  </si>
  <si>
    <t>L1
%</t>
  </si>
  <si>
    <t>L2
Total</t>
  </si>
  <si>
    <t>L2
Compliant</t>
  </si>
  <si>
    <t>L2
%</t>
  </si>
  <si>
    <t>L3
Total</t>
  </si>
  <si>
    <t>L3
Compliant</t>
  </si>
  <si>
    <t>L3
%</t>
  </si>
  <si>
    <t>Overall
Compliant</t>
  </si>
  <si>
    <t>Overall
%</t>
  </si>
  <si>
    <t>V1 – Encoding and Sanitization</t>
  </si>
  <si>
    <t>V2 – Validation and Business Logic</t>
  </si>
  <si>
    <t>V3 – Web Frontend Security</t>
  </si>
  <si>
    <t>V4 – API and Web Service</t>
  </si>
  <si>
    <t>V5 – File Handling</t>
  </si>
  <si>
    <t>V6 – Authentication</t>
  </si>
  <si>
    <t>V7 – Session Management</t>
  </si>
  <si>
    <t>V8 – Authorization</t>
  </si>
  <si>
    <t>V9 – Self-contained Tokens</t>
  </si>
  <si>
    <t>N/A</t>
  </si>
  <si>
    <t>V10 – OAuth and OIDC</t>
  </si>
  <si>
    <t>V11 – Cryptography</t>
  </si>
  <si>
    <t>V12 – Secure Communication</t>
  </si>
  <si>
    <t>V13 – Configuration</t>
  </si>
  <si>
    <t>V14 – Data Protection</t>
  </si>
  <si>
    <t>V15 – Secure Coding and Architecture</t>
  </si>
  <si>
    <t>V16 – Security Logging and Error Handling</t>
  </si>
  <si>
    <t>V17 – WebRTC</t>
  </si>
  <si>
    <t>TOTAL</t>
  </si>
  <si>
    <t>Section ID</t>
  </si>
  <si>
    <t>Section Name</t>
  </si>
  <si>
    <t>Req ID</t>
  </si>
  <si>
    <t>Description</t>
  </si>
  <si>
    <t>Level</t>
  </si>
  <si>
    <t>Status</t>
  </si>
  <si>
    <t>Observations</t>
  </si>
  <si>
    <t>Reference / Link</t>
  </si>
  <si>
    <t>V1.1</t>
  </si>
  <si>
    <t>Encoding and Sanitization Architecture</t>
  </si>
  <si>
    <t>V1.1.1</t>
  </si>
  <si>
    <t>Verify that input is decoded or unescaped into a canonical form only once, it is only decoded when encoded data in that form is expected, and that this is done before processing the input further, for example it is not performed after input validation or sanitization.</t>
  </si>
  <si>
    <t>In Progress</t>
  </si>
  <si>
    <t> Input is processed by Joi validation in a single pass before any business logic. No re-decoding occurs after validation. Not formally audited across all code paths.</t>
  </si>
  <si>
    <t>CantinasApp/Backend/src/Schemas</t>
  </si>
  <si>
    <t>V1.1.2</t>
  </si>
  <si>
    <t>Verify that the application performs output encoding and escaping either as a final step before being used by the interpreter for which it is intended or by the interpreter itself.</t>
  </si>
  <si>
    <t>Compliant</t>
  </si>
  <si>
    <t>Express JSON middleware serializes all API responses as the final step. No manual string building of output. helmet sets Content-Type headers on all responses.</t>
  </si>
  <si>
    <t>V1.2</t>
  </si>
  <si>
    <t>Injection Prevention</t>
  </si>
  <si>
    <t>V1.2.1</t>
  </si>
  <si>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</si>
  <si>
    <t>API returns JSON only. Express JSON middleware handles serialization. No HTML, XML, or CSS generated by the server. Content-Type: application/json is set on all responses.</t>
  </si>
  <si>
    <t>V1.2.2</t>
  </si>
  <si>
    <t>Verify that when dynamically building URLs, untrusted data is encoded according to its context (e.g., URL encoding or base64url encoding for query or path parameters). Ensure that only safe URL protocols are permitted (e.g., disallow javascript: or data:).</t>
  </si>
  <si>
    <t>Not Applicable</t>
  </si>
  <si>
    <t>Application does not dynamically build URLs from user input.</t>
  </si>
  <si>
    <t>V1.2.3</t>
  </si>
  <si>
    <t>Verify that output encoding or escaping is used when dynamically building JavaScript content (including JSON), to avoid changing the message or document structure (to avoid JavaScript and JSON injection).</t>
  </si>
  <si>
    <t>All JSON output is serialized by Express JSON middleware which automatically escapes special characters. No manual JSON string building.</t>
  </si>
  <si>
    <t>V1.2.4</t>
  </si>
  <si>
    <t>Verify that data selection or database queries (e.g., SQL, HQL, NoSQL, Cypher) use parameterized queries, ORMs, entity frameworks, or are otherwise protected from SQL Injection and other database injection attacks. This is also relevant when writing stored procedures.</t>
  </si>
  <si>
    <t>Sequelize ORM used for all database operations with parameterized queries. npm audit confirms 0 SQL injection vulnerabilities in current dependencies.</t>
  </si>
  <si>
    <t>CantinasApp/Backend/src/Service/, Deliverables/Phase2/Sprint2/SCA-Report.md</t>
  </si>
  <si>
    <t>V1.2.5</t>
  </si>
  <si>
    <t>Verify that the application protects against OS command injection and that operating system calls use parameterized OS queries or use contextual command line output encoding.</t>
  </si>
  <si>
    <t>No OS command calls in the code</t>
  </si>
  <si>
    <t>V1.2.6</t>
  </si>
  <si>
    <t>Verify that the application protects against LDAP injection vulnerabilities, or that specific security controls to prevent LDAP injection have been implemented.</t>
  </si>
  <si>
    <t>No LDAP in the application. </t>
  </si>
  <si>
    <t>V1.2.7</t>
  </si>
  <si>
    <t>Verify that the application is protected against XPath injection attacks by using query parameterization or precompiled queries.</t>
  </si>
  <si>
    <t> No XPath in the application. </t>
  </si>
  <si>
    <t>V1.2.8</t>
  </si>
  <si>
    <t>Verify that LaTeX processors are configured securely (such as not using the "--shell-escape" flag) and an allowlist of commands is used to prevent LaTeX injection attacks.</t>
  </si>
  <si>
    <t>No LaTeX processing in the application.</t>
  </si>
  <si>
    <t>V1.2.9</t>
  </si>
  <si>
    <t>Verify that the application escapes special characters in regular expressions (typically using a backslash) to prevent them from being misinterpreted as metacharacters.</t>
  </si>
  <si>
    <t>No user-controlled regular expressions in the application.</t>
  </si>
  <si>
    <t>V1.2.10</t>
  </si>
  <si>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</si>
  <si>
    <t>No CSV or spreadsheet export functionality.</t>
  </si>
  <si>
    <t>V1.3</t>
  </si>
  <si>
    <t>Sanitization</t>
  </si>
  <si>
    <t>V1.3.1</t>
  </si>
  <si>
    <t>Verify that all untrusted HTML input from WYSIWYG editors or similar is sanitized using a well-known and secure HTML sanitization library or framework feature.</t>
  </si>
  <si>
    <t>No WYSIWYG editors or user-supplied HTML in the application. </t>
  </si>
  <si>
    <t>V1.3.2</t>
  </si>
  <si>
    <t>Verify that the application avoids the use of eval() or other dynamic code execution features such as Spring Expression Language (SpEL). Where there is no alternative, any user input being included must be sanitized before being executed.</t>
  </si>
  <si>
    <t> No eval() or dynamic code execution in the codebase. All modules use static ES6 imports. Dynamic import() only used for lazy-loading internal models in ReservationController, not from user input.</t>
  </si>
  <si>
    <t>V1.3.3</t>
  </si>
  <si>
    <t>Verify that data being passed to a potentially dangerous context is sanitized beforehand to enforce safety measures, such as only allowing characters which are safe for this context and trimming input which is too long.</t>
  </si>
  <si>
    <t>Joi validation and safeFilename (crypto.randomUUID()) sanitize inputs before file operations. path.resolve bounds check added in ApplicationController. Full coverage of all dangerous contexts not formally audited.</t>
  </si>
  <si>
    <t>CantinasApp/Backend/src/Controller/ApplicationController.ts, CantinasApp/Backend/src/utils/fileUtils.ts</t>
  </si>
  <si>
    <t>V1.3.4</t>
  </si>
  <si>
    <t>Verify that user-supplied Scalable Vector Graphics (SVG) scriptable content is validated or sanitized to contain only tags and attributes (such as draw graphics) that are safe for the application, e.g., do not contain scripts and foreignObject.</t>
  </si>
  <si>
    <t>No user-supplied SVG.</t>
  </si>
  <si>
    <t>V1.3.5</t>
  </si>
  <si>
    <t>Verify that the application sanitizes or disables user-supplied scriptable or expression template language content, such as Markdown, CSS or XSL stylesheets, BBCode, or similar.</t>
  </si>
  <si>
    <t>No user-supplied templates, CSS, or stylesheets processed by the backend.</t>
  </si>
  <si>
    <t>V1.3.6</t>
  </si>
  <si>
    <t>Verify that the application protects against Server-side Request Forgery (SSRF) attacks, by validating untrusted data against an allowlist of protocols, domains, paths and ports and sanitizing potentially dangerous characters before using the data to call another service.</t>
  </si>
  <si>
    <t>Application makes external HTTP calls via nodemailer (email) and expo-server-sdk (push notifications). Input fields are Joi-validated before use. Explicit SSRF allowlist for outbound calls not implemented.</t>
  </si>
  <si>
    <t>CantinasApp/Backend/src/Service/NotificationService.ts</t>
  </si>
  <si>
    <t>V1.3.7</t>
  </si>
  <si>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</si>
  <si>
    <t>No template language that accepts user input.</t>
  </si>
  <si>
    <t>V1.3.8</t>
  </si>
  <si>
    <t>Verify that the application appropriately sanitizes untrusted input before use in Java Naming and Directory Interface (JNDI) queries and that JNDI is configured securely to prevent JNDI injection attacks.</t>
  </si>
  <si>
    <t>Node.js application, no JNDI.</t>
  </si>
  <si>
    <t>V1.3.9</t>
  </si>
  <si>
    <t>Verify that the application sanitizes content before it is sent to memcache to prevent injection attacks.</t>
  </si>
  <si>
    <t>No memcache in the application.</t>
  </si>
  <si>
    <t>V1.3.10</t>
  </si>
  <si>
    <t>Verify that format strings which might resolve in an unexpected or malicious way when used are sanitized before being processed.</t>
  </si>
  <si>
    <t>No format strings with user input. Node.js template literals used safely with typed variables.</t>
  </si>
  <si>
    <t>V1.3.11</t>
  </si>
  <si>
    <t>Verify that the application sanitizes user input before passing to mail systems to protect against SMTP or IMAP injection.</t>
  </si>
  <si>
    <t>Nodemailer used for email. Email address and name fields are Joi-validated. Explicit SMTP injection escaping not verified.</t>
  </si>
  <si>
    <t>V1.3.12</t>
  </si>
  <si>
    <t>Verify that regular expressions are free from elements causing exponential backtracking, and ensure untrusted input is sanitized to mitigate ReDoS or Runaway Regex attacks.</t>
  </si>
  <si>
    <t>No complex regular expressions with user-controlled input.</t>
  </si>
  <si>
    <t>V1.4</t>
  </si>
  <si>
    <t>Memory, String, and Unmanaged Code</t>
  </si>
  <si>
    <t>V1.4.1</t>
  </si>
  <si>
    <t>Verify that the application uses memory-safe string, safer memory copy and pointer arithmetic to detect or prevent stack, buffer, or heap overflows.</t>
  </si>
  <si>
    <t>Node.js is a memory-safe runtime with automatic garbage collection. No unmanaged memory code.</t>
  </si>
  <si>
    <t>V1.4.2</t>
  </si>
  <si>
    <t>Verify that sign, range, and input validation techniques are used to prevent integer overflows.</t>
  </si>
  <si>
    <t>Joi integer validation on numeric fields prevents most overflow scenarios. TypeScript number type used. Not formally audited for all edge cases.</t>
  </si>
  <si>
    <t>CantinasApp/Backend/src/Schemas/</t>
  </si>
  <si>
    <t>V1.4.3</t>
  </si>
  <si>
    <t>Verify that dynamically allocated memory and resources are released, and that references or pointers to freed memory are removed or set to null to prevent dangling pointers and use-after-free vulnerabilities.</t>
  </si>
  <si>
    <t>Memory lifecycle fully managed by Node.js/V8 runtime. No manual memory management.</t>
  </si>
  <si>
    <t>V1.5</t>
  </si>
  <si>
    <t>Safe Deserialization</t>
  </si>
  <si>
    <t>V1.5.1</t>
  </si>
  <si>
    <t>Verify that the application configures XML parsers to use a restrictive configuration and that unsafe features such as resolving external entities are disabled to prevent XML eXternal Entity (XXE) attacks.</t>
  </si>
  <si>
    <t>No XML parsing in the application. Only JSON used.</t>
  </si>
  <si>
    <t>V1.5.2</t>
  </si>
  <si>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</si>
  <si>
    <t>JSON parsed by Express body-parser (trusted middleware). JSON.parse used in some controllers for structured fields. Input is validated by Joi after parsing. No untrusted object type deserialization.</t>
  </si>
  <si>
    <t>CantinasApp/Backend/src/Controller/ApplicationController.ts</t>
  </si>
  <si>
    <t>V1.5.3</t>
  </si>
  <si>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</si>
  <si>
    <t>Single JSON parser used consistently throughout (Node.js built-in). No competing parsers for the same data type.</t>
  </si>
  <si>
    <t>V2.1</t>
  </si>
  <si>
    <t>Validation and Business Logic Documentation</t>
  </si>
  <si>
    <t>V2.1.1</t>
  </si>
  <si>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</si>
  <si>
    <t>Joi schemas in src/Schemas/ define validation rules for each entity type (products, meals, batches, dishes, etc.) including types, formats, and required fields.</t>
  </si>
  <si>
    <t>V2.1.2</t>
  </si>
  <si>
    <t>Verify that the application's documentation defines how to validate the logical and contextual consistency of combined data items, such as checking that suburb and ZIP code match.</t>
  </si>
  <si>
    <t> Some combined field checks in place (e.g., refeitorioId required when role is RefectoryManager). Not documented formally for all entity combinations.</t>
  </si>
  <si>
    <t>CantinasApp/Backend/src/Controller/UserController.ts</t>
  </si>
  <si>
    <t>V2.1.3</t>
  </si>
  <si>
    <t>Verify that expectations for business logic limits and validations are documented, including both per-user and globally across the application.</t>
  </si>
  <si>
    <t>Business logic limits documented in AbuseCases.md and SecurityRequirements.md from Phase 1. Rate limiting values documented in DevSecOps-Pipeline.md.</t>
  </si>
  <si>
    <t>Deliverables/Phase1/Documentation/AbuseCases.md, Deliverables/Phase1/Documentation/SecurityRequirements.md</t>
  </si>
  <si>
    <t>V2.2</t>
  </si>
  <si>
    <t>Input Validation</t>
  </si>
  <si>
    <t>V2.2.1</t>
  </si>
  <si>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</si>
  <si>
    <t>Joi validation on all key endpoints. Schemas define allow lists, patterns, and ranges before processing. Applied at controller entry point before service calls.</t>
  </si>
  <si>
    <t>CantinasApp/Backend/src/Schemas/, CantinasApp/Backend/src/Controller</t>
  </si>
  <si>
    <t>V2.2.2</t>
  </si>
  <si>
    <t>Verify that the application is designed to enforce input validation at a trusted service layer. While client-side validation improves usability and should be encouraged, it must not be relied upon as a security control.</t>
  </si>
  <si>
    <t>All validation is server-side (backend). There is no frontend in scope. No client-side validation is relied upon for security.</t>
  </si>
  <si>
    <t>CantinasApp/Backend/src/Controller/</t>
  </si>
  <si>
    <t>V2.2.3</t>
  </si>
  <si>
    <t>Verify that the application ensures that combinations of related data items are reasonable according to the pre-defined rules.</t>
  </si>
  <si>
    <t> Some relational consistency checks in service layer (meal must belong to valid refeitorio, user refeitorioId must match). Not formally documented for all combinations.</t>
  </si>
  <si>
    <t>CantinasApp/Backend/src/Service/ReservationService.ts, CantinasApp/Backend/src/Service/WasteReportService.ts</t>
  </si>
  <si>
    <t>V2.3</t>
  </si>
  <si>
    <t>Business Logic Security</t>
  </si>
  <si>
    <t>V2.3.1</t>
  </si>
  <si>
    <t>Verify that the application will only process business logic flows for the same user in the expected sequential step order and without skipping steps.</t>
  </si>
  <si>
    <t>Reservation lifecycle enforced in sequence: created (active) -&gt; lifted (consumed) or expired (not consumed). Status transitions validated in service layer. Invalid transitions return errors.</t>
  </si>
  <si>
    <t>CantinasApp/Backend/src/Service/ReservationService.ts</t>
  </si>
  <si>
    <t>V2.3.2</t>
  </si>
  <si>
    <t>Verify that business logic limits are implemented per the application's documentation to avoid business logic flaws being exploited.</t>
  </si>
  <si>
    <t>Rate limiting on all endpoints. Duplicate reservation guard prevents creation of duplicate active reservations for the same user and meal. Business limits from Phase 1 enforced. </t>
  </si>
  <si>
    <t>CantinasApp/Backend/src/Service/ReservationService.ts, CantinasApp/Backend/src/middlewares/rateLimit.ts</t>
  </si>
  <si>
    <t>V2.3.3</t>
  </si>
  <si>
    <t>Verify that transactions are being used at the business logic level such that either a business logic operation succeeds in its entirety or it is rolled back to the previous correct state.</t>
  </si>
  <si>
    <t>Not Started</t>
  </si>
  <si>
    <t>Sequelize individual operations used without explicit transactions wrapping multi-step business logic. If an intermediate step fails, partial state may remain. </t>
  </si>
  <si>
    <t>V2.3.4</t>
  </si>
  <si>
    <t>Verify that business logic level locking mechanisms are used to ensure that limited quantity resources (such as theater seats or delivery slots) cannot be double-booked by manipulating the application's logic.</t>
  </si>
  <si>
    <t>Duplicate reservation guard added in ReservationService.createReservation. Checks for existing active/pendent reservation for the same userId + mealId before creating. Returns 409 Conflict if duplicate found.</t>
  </si>
  <si>
    <t>CantinasApp/Backend/src/Service/ReservationService.ts, CantinasApp/Backend/src/tests/security.unit.test.ts</t>
  </si>
  <si>
    <t>V2.3.5</t>
  </si>
  <si>
    <t>Verify that high-value business logic flows require multi-user approval to prevent unauthorized or accidental actions. This could include but is not limited to large monetary transfers, contract approvals, access to classified information, or safety overrides in manufacturing.</t>
  </si>
  <si>
    <t>Supplier applications require explicit approval by a NetworkManager via status update endpoint. Not implemented as a formal two-user approval workflow.</t>
  </si>
  <si>
    <t>CantinasApp/Backend/src/Service/ApplicationService.ts</t>
  </si>
  <si>
    <t>V2.4</t>
  </si>
  <si>
    <t>Anti-automation</t>
  </si>
  <si>
    <t>V2.4.1</t>
  </si>
  <si>
    <t>Verify that anti-automation controls are in place to protect against excessive calls to application functions that could lead to data exfiltration, garbage-data creation, quota exhaustion, rate-limit breaches, denial-of-service, or overuse of costly resources.</t>
  </si>
  <si>
    <t>Rate limiting implemented: authLimiter (10 req/15min) on auth endpoints, apiLimiter (200 req/15min) on general API, reservationLimiter (5 req/min) on reservation creation.</t>
  </si>
  <si>
    <t>CantinasApp/Backend/src/middlewares/rateLimit.ts, CantinasApp/Backend/src/Routes/ReservationRoutes.ts</t>
  </si>
  <si>
    <t>V2.4.2</t>
  </si>
  <si>
    <t>Verify that business logic flows require realistic human timing, preventing excessively rapid transaction submissions.</t>
  </si>
  <si>
    <t>Rate limiting enforces minimum timing constraints between requests. No explicit human-timing simulation or CAPTCHA implemented beyond rate limits. </t>
  </si>
  <si>
    <t>CantinasApp/Backend/src/middlewares/rateLimit.ts</t>
  </si>
  <si>
    <t>V3.1</t>
  </si>
  <si>
    <t>Web Frontend Security Documentation</t>
  </si>
  <si>
    <t>V3.1.1</t>
  </si>
  <si>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</si>
  <si>
    <t> No formal documentation of expected browser security features produced. L3 requirement, out of scope for this project level.</t>
  </si>
  <si>
    <t>V3.2</t>
  </si>
  <si>
    <t>Unintended Content Interpretation</t>
  </si>
  <si>
    <t>V3.2.1</t>
  </si>
  <si>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</si>
  <si>
    <t>helmet X-Content-Type-Options: nosniff prevents MIME sniffing. API serves only JSON (Content-Type: application/json). No HTML or script content served dynamically from user-uploaded data</t>
  </si>
  <si>
    <t>CantinasApp/Backend/index.ts</t>
  </si>
  <si>
    <t>V3.2.2</t>
  </si>
  <si>
    <t>Verify that content intended to be displayed as text, rather than rendered as HTML, is handled using safe rendering functions (such as createTextNode or textContent) to prevent unintended execution of content such as HTML or JavaScript.</t>
  </si>
  <si>
    <t>Backend API only. No server-side HTML rendering. No text content rendered as HTML by the server.</t>
  </si>
  <si>
    <t>V3.2.3</t>
  </si>
  <si>
    <t>Verify that the application avoids DOM clobbering when using client-side JavaScript by employing explicit variable declarations, performing strict type checking, avoiding storing global variables on the document object, and implementing namespace isolation.</t>
  </si>
  <si>
    <t>No client-side JavaScript in scope. Backend only. </t>
  </si>
  <si>
    <t>V3.3</t>
  </si>
  <si>
    <t>Cookie Setup</t>
  </si>
  <si>
    <t>V3.3.1</t>
  </si>
  <si>
    <t>Verify that cookies have the 'Secure' attribute set, and if the '\__Host-' prefix is not used for the cookie name, the '__Secure-' prefix must be used for the cookie name.</t>
  </si>
  <si>
    <t>Application uses JWT in Authorization header, not cookies. Cookie requirements do not apply.</t>
  </si>
  <si>
    <t>V3.3.2</t>
  </si>
  <si>
    <t>Verify that each cookie's 'SameSite' attribute value is set according to the purpose of the cookie, to limit exposure to user interface redress attacks and browser-based request forgery attacks, commonly known as cross-site request forgery (CSRF).</t>
  </si>
  <si>
    <t>No cookies used. JWT in Authorization header.</t>
  </si>
  <si>
    <t>V3.3.3</t>
  </si>
  <si>
    <t>Verify that cookies have the '__Host-' prefix for the cookie name unless they are explicitly designed to be shared with other hosts.</t>
  </si>
  <si>
    <t>No cookies used.</t>
  </si>
  <si>
    <t>V3.3.4</t>
  </si>
  <si>
    <t>Verify that if the value of a cookie is not meant to be accessible to client-side scripts (such as a session token), the cookie must have the 'HttpOnly' attribute set and the same value (e. g. session token) must only be transferred to the client via the 'Set-Cookie' header field.</t>
  </si>
  <si>
    <t>No session cookies. JWT sent via Authorization header only.</t>
  </si>
  <si>
    <t>V3.3.5</t>
  </si>
  <si>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</si>
  <si>
    <t> No cookies used.</t>
  </si>
  <si>
    <t>V3.4</t>
  </si>
  <si>
    <t>Browser Security Mechanism Headers</t>
  </si>
  <si>
    <t>V3.4.1</t>
  </si>
  <si>
    <t>Verify that a Strict-Transport-Security header field is included on all responses to enforce an HTTP Strict Transport Security (HSTS) policy. A maximum age of at least 1 year must be defined, and for L2 and up, the policy must apply to all subdomains as well.</t>
  </si>
  <si>
    <t> HSTS configured via helmet with maxAge 31536000 (1 year) and includeSubDomains. Applied to all responses.</t>
  </si>
  <si>
    <t>V3.4.2</t>
  </si>
  <si>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</si>
  <si>
    <t>CORS configured with explicit origin allowlist via CORS_ORIGIN environment variable. No wildcard origin. allowedHeaders explicitly set to Content-Type and Authorization.</t>
  </si>
  <si>
    <t>V3.4.3</t>
  </si>
  <si>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</si>
  <si>
    <t>CSP configured via helmet with object-src 'none' and base-uri 'none' as required. Global policy applied to all responses.</t>
  </si>
  <si>
    <t>V3.4.4</t>
  </si>
  <si>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</si>
  <si>
    <t>helmet sets X-Content-Type-Options: nosniff on all HTTP responses. </t>
  </si>
  <si>
    <t>V3.4.5</t>
  </si>
  <si>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</si>
  <si>
    <t>helmet Referrer-Policy configured on all responses.</t>
  </si>
  <si>
    <t>V3.4.6</t>
  </si>
  <si>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</si>
  <si>
    <t>CSP frameAncestors: 'none' set in helmet configuration. Prevents the application from being embedded in frames.</t>
  </si>
  <si>
    <t>V3.4.7</t>
  </si>
  <si>
    <t>Verify that the Content-Security-Policy header field specifies a location to report violations.</t>
  </si>
  <si>
    <t>No CSP violation reporting endpoint configured. L3 requirement.</t>
  </si>
  <si>
    <t>V3.4.8</t>
  </si>
  <si>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</si>
  <si>
    <t>Cross-Origin-Opener-Policy header not configured. L3 requirement.</t>
  </si>
  <si>
    <t>V3.5</t>
  </si>
  <si>
    <t>Browser Origin Separation</t>
  </si>
  <si>
    <t>V3.5.1</t>
  </si>
  <si>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</si>
  <si>
    <t>JWT Bearer token used instead of cookies, making standard CSRF attacks ineffective (no credential automatically attached to cross-origin requests). CORS allowlist (CORS_ORIGIN env var) blocks cross-origin requests from untrusted origins.</t>
  </si>
  <si>
    <t>CantinasApp/Backend/index.ts, CantinasApp/Backend/src/middlewares/authMiddleware.ts</t>
  </si>
  <si>
    <t>V3.5.2</t>
  </si>
  <si>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</si>
  <si>
    <t>CORS configured so that non-simple requests (those using Authorization header) require a preflight. Only the declared allowed origin passes preflight</t>
  </si>
  <si>
    <t>V3.5.3</t>
  </si>
  <si>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</si>
  <si>
    <t> All mutation routes use POST, PUT, PATCH, or DELETE. Read-only operations use GET. Defined explicitly in all route files.</t>
  </si>
  <si>
    <t>CantinasApp/Backend/src/Routes/</t>
  </si>
  <si>
    <t>V3.5.4</t>
  </si>
  <si>
    <t>Verify that separate applications are hosted on different hostnames to leverage the restrictions provided by same-origin policy, including how documents or scripts loaded by one origin can interact with resources from another origin and hostname-based restrictions on cookies.</t>
  </si>
  <si>
    <t> Single application on a single hostname.</t>
  </si>
  <si>
    <t>V3.5.5</t>
  </si>
  <si>
    <t>Verify that messages received by the postMessage interface are discarded if the origin of the message is not trusted, or if the syntax of the message is invalid.</t>
  </si>
  <si>
    <t>No postMessage usage in the application.</t>
  </si>
  <si>
    <t>V3.5.6</t>
  </si>
  <si>
    <t>Verify that JSONP functionality is not enabled anywhere across the application to avoid Cross-Site Script Inclusion (XSSI) attacks.</t>
  </si>
  <si>
    <t>No JSONP endpoints. API returns only JSON with explicit Content-Type.</t>
  </si>
  <si>
    <t>V3.5.7</t>
  </si>
  <si>
    <t>Verify that data requiring authorization is not included in script resource responses, like JavaScript files, to prevent Cross-Site Script Inclusion (XSSI) attacks.</t>
  </si>
  <si>
    <t>No script resource responses. API is data-only.</t>
  </si>
  <si>
    <t>V3.5.8</t>
  </si>
  <si>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</si>
  <si>
    <t> /uploads static route serves files without Sec-Fetch-* validation. L3 requirement.</t>
  </si>
  <si>
    <t>V3.6</t>
  </si>
  <si>
    <t>External Resource Integrity</t>
  </si>
  <si>
    <t>V3.6.1</t>
  </si>
  <si>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</si>
  <si>
    <t>Backend only. No external CDN resources loaded. </t>
  </si>
  <si>
    <t>V3.7</t>
  </si>
  <si>
    <t>Other Browser Security Considerations</t>
  </si>
  <si>
    <t>V3.7.1</t>
  </si>
  <si>
    <t>Verify that the application only uses client-side technologies which are still supported and considered secure. Examples of technologies which do not meet this requirement include NSAPI plugins, Flash, Shockwave, ActiveX, Silverlight, NACL, or client-side Java applets.</t>
  </si>
  <si>
    <t>Backend API. No client-side technologies used.</t>
  </si>
  <si>
    <t>V3.7.2</t>
  </si>
  <si>
    <t>Verify that the application will only automatically redirect the user to a different hostname or domain (which is not controlled by the application) where the destination appears on an allowlist.</t>
  </si>
  <si>
    <t>No external redirects in the application.</t>
  </si>
  <si>
    <t>V3.7.3</t>
  </si>
  <si>
    <t>Verify that the application shows a notification when the user is being redirected to a URL outside of the application's control, with an option to cancel the navigation.</t>
  </si>
  <si>
    <t>No external redirects</t>
  </si>
  <si>
    <t>V3.7.4</t>
  </si>
  <si>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</si>
  <si>
    <t>HSTS preload list submission not done. L3 requirement.</t>
  </si>
  <si>
    <t>V3.7.5</t>
  </si>
  <si>
    <t>Verify that the application behaves as documented (such as warning the user or blocking access) if the browser used to access the application does not support the expected security features.</t>
  </si>
  <si>
    <t>No browser-targeted responses. Backend API only.</t>
  </si>
  <si>
    <t>V4.1</t>
  </si>
  <si>
    <t>Generic Web Service Security</t>
  </si>
  <si>
    <t>V4.1.1</t>
  </si>
  <si>
    <t>Verify that every HTTP response with a message body contains a Content-Type header field that matches the actual content of the response, including the charset parameter to specify safe character encoding (e.g., UTF-8, ISO-8859-1) according to IANA Media Types, such as "text/", "/+xml" and "/xml".</t>
  </si>
  <si>
    <t>V4.1.2</t>
  </si>
  <si>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</si>
  <si>
    <t>V4.1.3</t>
  </si>
  <si>
    <t>Verify that any HTTP header field used by the application and set by an intermediary layer, such as a load balancer, a web proxy, or a backend-for-frontend service, cannot be overridden by the end-user. Example headers might include X-Real-IP, X-Forwarded-*, or X-User-ID.</t>
  </si>
  <si>
    <t>CantinasApp/Backend/index.ts, CantinasApp/Backend/src/Controller/UserController.ts</t>
  </si>
  <si>
    <t>V4.1.4</t>
  </si>
  <si>
    <t>Verify that only HTTP methods that are explicitly supported by the application or its API (including OPTIONS during preflight requests) can be used and that unused methods are blocked.</t>
  </si>
  <si>
    <t>CantinasApp/Backend/index.ts, CantinasApp/Backend/src/middlewares/allowedMethods.ts</t>
  </si>
  <si>
    <t>V4.1.5</t>
  </si>
  <si>
    <t>Verify that per-message digital signatures are used to provide additional assurance on top of transport protections for requests or transactions which are highly sensitive or which traverse a number of systems.</t>
  </si>
  <si>
    <t>No highly sensitive requests or transactions used.</t>
  </si>
  <si>
    <t>V4.2</t>
  </si>
  <si>
    <t>HTTP Message Structure Validation</t>
  </si>
  <si>
    <t>V4.2.1</t>
  </si>
  <si>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</si>
  <si>
    <t>V4.2.2</t>
  </si>
  <si>
    <t>Verify that when generating HTTP messages, the Content-Length header field does not conflict with the length of the content as determined by the framing of the HTTP protocol, in order to prevent request smuggling attacks.</t>
  </si>
  <si>
    <t>V4.2.3</t>
  </si>
  <si>
    <t>Verify that the application does not send nor accept HTTP/2 or HTTP/3 messages with connection-specific header fields such as Transfer-Encoding to prevent response splitting and header injection attacks.</t>
  </si>
  <si>
    <t>Handled by reverse proxy / platform (Express does not expose HTTP/2 directly).</t>
  </si>
  <si>
    <t>V4.2.4</t>
  </si>
  <si>
    <t>Verify that the application only accepts HTTP/2 and HTTP/3 requests where the header fields and values do not contain any CR (\r), LF (\n), or CRLF (\r\n) sequences, to prevent header injection attacks.</t>
  </si>
  <si>
    <t>CantinasApp/Backend/index.ts, CantinasApp/Backend/src/middlewares/headerSanitizer.ts</t>
  </si>
  <si>
    <t>V4.2.5</t>
  </si>
  <si>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</si>
  <si>
    <t>CantinasApp/Backend/index.ts, CantinasApp/Backend/src/middlewares/urlLength.ts</t>
  </si>
  <si>
    <t>V4.3</t>
  </si>
  <si>
    <t>GraphQL</t>
  </si>
  <si>
    <t>V4.3.1</t>
  </si>
  <si>
    <t>Verify that a query allowlist, depth limiting, amount limiting, or query cost analysis is used to prevent GraphQL or data layer expression Denial of Service (DoS) as a result of expensive, nested queries.</t>
  </si>
  <si>
    <t>GraphQL is not implemented in the application.</t>
  </si>
  <si>
    <t>V4.3.2</t>
  </si>
  <si>
    <t>Verify that GraphQL introspection queries are disabled in the production environment unless the GraphQL API is meant to be used by other parties.</t>
  </si>
  <si>
    <t>V4.4</t>
  </si>
  <si>
    <t>WebSocket</t>
  </si>
  <si>
    <t>V4.4.1</t>
  </si>
  <si>
    <t>Verify that WebSocket over TLS (WSS) is used for all WebSocket connections.</t>
  </si>
  <si>
    <t>WebSockets are not implemented in the application. All communication is performed over HTTPS REST endpoints secured via TLS.</t>
  </si>
  <si>
    <t>V4.4.2</t>
  </si>
  <si>
    <t>Verify that, during the initial HTTP WebSocket handshake, the Origin header field is checked against a list of origins allowed for the application.</t>
  </si>
  <si>
    <t>Origin validation is enforced via CORS policy for all HTTP requests. WebSocket handshake validation is not applicable as WebSockets are not used.</t>
  </si>
  <si>
    <t>V4.4.3</t>
  </si>
  <si>
    <t>Verify that, if the application's standard session management cannot be used, dedicated tokens are being used for this, which comply with the relevant Session Management security requirements.</t>
  </si>
  <si>
    <t>No WebSocket implementation exists. Authentication is enforced via session-based REST authentication mechanisms (SessionService + authMiddleware).</t>
  </si>
  <si>
    <t>V4.4.4</t>
  </si>
  <si>
    <t>Verify that dedicated WebSocket session management tokens are initially obtained or validated through the previously authenticated HTTPS session when transitioning an existing HTTPS session to a WebSocket channel.</t>
  </si>
  <si>
    <t>WebSocket session management tokens are not applicable as WebSockets are not used.</t>
  </si>
  <si>
    <t>V5.1</t>
  </si>
  <si>
    <t>File Handling Documentation</t>
  </si>
  <si>
    <t>V5.1.1</t>
  </si>
  <si>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</si>
  <si>
    <t>V5.2</t>
  </si>
  <si>
    <t>File Upload and Content</t>
  </si>
  <si>
    <t>V5.2.1</t>
  </si>
  <si>
    <t>Verify that the application will only accept files of a size which it can process without causing a loss of performance or a denial of service attack.</t>
  </si>
  <si>
    <t>V5.2.2</t>
  </si>
  <si>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</si>
  <si>
    <t>V5.2.3</t>
  </si>
  <si>
    <t>Verify that the application checks compressed files (e.g., zip, gz, docx, odt) against maximum allowed uncompressed size and against maximum number of files before uncompressing the file.</t>
  </si>
  <si>
    <t>API does not allow zip files</t>
  </si>
  <si>
    <t>V5.2.4</t>
  </si>
  <si>
    <t>Verify that a file size quota and maximum number of files per user are enforced to ensure that a single user cannot fill up the storage with too many files, or excessively large files.</t>
  </si>
  <si>
    <t>V5.2.5</t>
  </si>
  <si>
    <t>Verify that the application does not allow uploading compressed files containing symlinks unless this is specifically required (in which case it will be necessary to enforce an allowlist of the files that can be symlinked to).</t>
  </si>
  <si>
    <t>V5.2.6</t>
  </si>
  <si>
    <t>Verify that the application rejects uploaded images with a pixel size larger than the maximum allowed, to prevent pixel flood attacks.</t>
  </si>
  <si>
    <t>V5.3</t>
  </si>
  <si>
    <t>File Storage</t>
  </si>
  <si>
    <t>V5.3.1</t>
  </si>
  <si>
    <t>Verify that files uploaded or generated by untrusted input and stored in a public folder, are not executed as server-side program code when accessed directly with an HTTP request.</t>
  </si>
  <si>
    <t>V5.3.2</t>
  </si>
  <si>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</si>
  <si>
    <t>V5.3.3</t>
  </si>
  <si>
    <t>Verify that server-side file processing, such as file decompression, ignores user-provided path information to prevent vulnerabilities such as zip slip.</t>
  </si>
  <si>
    <t>V5.4</t>
  </si>
  <si>
    <t>File Download</t>
  </si>
  <si>
    <t>V5.4.1</t>
  </si>
  <si>
    <t>Verify that the application validates or ignores user-submitted filenames, including in a JSON, JSONP, or URL parameter and specifies a filename in the Content-Disposition header field in the response.</t>
  </si>
  <si>
    <t>V5.4.2</t>
  </si>
  <si>
    <t>Verify that file names served (e.g., in HTTP response header fields or email attachments) are encoded or sanitized (e.g., following RFC 6266) to preserve document structure and prevent injection attacks.</t>
  </si>
  <si>
    <t>V5.4.3</t>
  </si>
  <si>
    <t>Verify that files obtained from untrusted sources are scanned by antivirus scanners to prevent serving of known malicious content.</t>
  </si>
  <si>
    <t>V6.1</t>
  </si>
  <si>
    <t>Authentication Documentation</t>
  </si>
  <si>
    <t>V6.1.1</t>
  </si>
  <si>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</si>
  <si>
    <t>Documented in the backend README: auth and password-change requests are rate limited to 10 requests per 15 minutes, and login failures return a generic invalid-credentials response.</t>
  </si>
  <si>
    <t>V6.1.2</t>
  </si>
  <si>
    <t>Verify that a list of context-specific words is documented in order to prevent their use in passwords. The list could include permutations of organization names, product names, system identifiers, project codenames, department or role names, and similar.</t>
  </si>
  <si>
    <t>The password policy helper blocks context words such as CantinasApp, BioCantina, desofs2026, THU, FFS, and role names; the same policy is documented here and enforced in code.</t>
  </si>
  <si>
    <t>V6.1.3</t>
  </si>
  <si>
    <t>Verify that, if the application includes multiple authentication pathways, these are all documented together with the security controls and authentication strength which must be consistently enforced across them.</t>
  </si>
  <si>
    <t>The application currently exposes a single local email/password login path; the README documents that path and its controls.</t>
  </si>
  <si>
    <t>V6.2</t>
  </si>
  <si>
    <t>Password Security</t>
  </si>
  <si>
    <t>V6.2.1</t>
  </si>
  <si>
    <t>Verify that user set passwords are at least 8 characters in length although a minimum of 15 characters is strongly recommended.</t>
  </si>
  <si>
    <t>Registration and password change validation require at least 8 characters.</t>
  </si>
  <si>
    <t>V6.2.2</t>
  </si>
  <si>
    <t>Verify that users can change their password.</t>
  </si>
  <si>
    <t>Added a self-service password change flow for authenticated users.</t>
  </si>
  <si>
    <t>V6.2.3</t>
  </si>
  <si>
    <t>Verify that password change functionality requires the user's current and new password.</t>
  </si>
  <si>
    <t>The new flow requires currentPassword and newPassword.</t>
  </si>
  <si>
    <t>V6.2.4</t>
  </si>
  <si>
    <t>Verify that passwords submitted during account registration or password change are checked against an available set of, at least, the top 3000 passwords which match the application's password policy, e.g. minimum length.</t>
  </si>
  <si>
    <t>Expanded common-password blocklist to 100+ OWASP-recommended passwords; further integration with full 3000+ breach list can be added in next iteration.</t>
  </si>
  <si>
    <t>V6.2.5</t>
  </si>
  <si>
    <t>Verify that passwords of any composition can be used, without rules limiting the type of characters permitted. There must be no requirement for a minimum number of upper or lower case characters, numbers, or special characters.</t>
  </si>
  <si>
    <t>The policy enforces length and context-word checks only; it does not require character-class composition rules.</t>
  </si>
  <si>
    <t>V6.2.6</t>
  </si>
  <si>
    <t>Verify that password input fields use type=password to mask the entry. Applications may allow the user to temporarily view the entire masked password, or the last typed character of the password.</t>
  </si>
  <si>
    <t>No Frontend implemented</t>
  </si>
  <si>
    <t>V6.2.7</t>
  </si>
  <si>
    <t>Verify that "paste" functionality, browser password helpers, and external password managers are permitted.</t>
  </si>
  <si>
    <t>V6.2.8</t>
  </si>
  <si>
    <t>Verify that the application verifies the user's password exactly as received from the user, without any modifications such as truncation or case transformation.</t>
  </si>
  <si>
    <t>Password verification uses bcrypt.compare without trimming, truncation, or case changes.</t>
  </si>
  <si>
    <t>V6.2.9</t>
  </si>
  <si>
    <t>Verify that passwords of at least 64 characters are permitted.</t>
  </si>
  <si>
    <t>The policy allows up to 128 characters and does not impose a low maximum that would block 64+ character passwords.</t>
  </si>
  <si>
    <t>V6.2.10</t>
  </si>
  <si>
    <t>Verify that a user's password stays valid until it is discovered to be compromised or the user rotates it. The application must not require periodic credential rotation.</t>
  </si>
  <si>
    <t>There is no periodic rotation mechanism in the current implementation.</t>
  </si>
  <si>
    <t>V6.2.11</t>
  </si>
  <si>
    <t>Verify that the documented list of context specific words is used to prevent easy to guess passwords being created.</t>
  </si>
  <si>
    <t>The password policy blocks application-specific words and role names, and the list is documented above.</t>
  </si>
  <si>
    <t>V6.2.12</t>
  </si>
  <si>
    <t>Verify that passwords submitted during account registration or password changes are checked against a set of breached passwords.</t>
  </si>
  <si>
    <t>Passwords are checked against the Have I Been Pwned k-anonymity range API during registration and password changes, with a cached async breach lookup.</t>
  </si>
  <si>
    <t>V6.3</t>
  </si>
  <si>
    <t>General Authentication Security</t>
  </si>
  <si>
    <t>V6.3.1</t>
  </si>
  <si>
    <t>Verify that controls to prevent attacks such as credential stuffing and password brute force are implemented according to the application's security documentation.</t>
  </si>
  <si>
    <t>Login and password-change requests are rate limited, and login failures are generic.</t>
  </si>
  <si>
    <t>V6.3.2</t>
  </si>
  <si>
    <t>Verify that default user accounts (e.g., "root", "admin", or "sa") are not present in the application or are disabled.</t>
  </si>
  <si>
    <t>No root/admin/sa default accounts are seeded or exposed.</t>
  </si>
  <si>
    <t>V6.3.3</t>
  </si>
  <si>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</si>
  <si>
    <t>The app still uses single-factor email/password authentication.</t>
  </si>
  <si>
    <t>V6.3.4</t>
  </si>
  <si>
    <t>Verify that, if the application includes multiple authentication pathways, there are no undocumented pathways and that security controls and authentication strength are enforced consistently.</t>
  </si>
  <si>
    <t>Only one authentication pathway is currently implemented.</t>
  </si>
  <si>
    <t>V6.3.5</t>
  </si>
  <si>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</si>
  <si>
    <t>Login attempts are audited and suspicious cases now raise in-app notifications after repeated failures or a login from a new IP address.</t>
  </si>
  <si>
    <t>V6.3.6</t>
  </si>
  <si>
    <t>Verify that email is not used as either a single-factor or multi-factor authentication mechanism.</t>
  </si>
  <si>
    <t>Email is used as the account identifier, not as an authentication factor.</t>
  </si>
  <si>
    <t>V6.3.7</t>
  </si>
  <si>
    <t>Verify that users are notified after updates to authentication details, such as credential resets or modification of the username or email address.</t>
  </si>
  <si>
    <t>Password changes, password resets, and email verification now create in-app notifications for the affected user.</t>
  </si>
  <si>
    <t>V6.3.8</t>
  </si>
  <si>
    <t>Verify that valid users cannot be deduced from failed authentication challenges, such as by basing on error messages, HTTP response codes, or different response times. Registration and forgot password functionality must also have this protection.</t>
  </si>
  <si>
    <t>Login now returns a generic invalid-credentials message for failures.</t>
  </si>
  <si>
    <t>V6.4</t>
  </si>
  <si>
    <t>Authentication Factor Lifecycle and Recovery</t>
  </si>
  <si>
    <t>V6.4.1</t>
  </si>
  <si>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</si>
  <si>
    <t>Email verification endpoint added with secure random tokens that expire after 60 minutes. Users are marked emailVerified=false by default on registration.</t>
  </si>
  <si>
    <t>V6.4.2</t>
  </si>
  <si>
    <t>Verify that password hints or knowledge-based authentication (so-called "secret questions") are not present.</t>
  </si>
  <si>
    <t>No secret-question or password-hint flow exists in the application.</t>
  </si>
  <si>
    <t>V6.4.3</t>
  </si>
  <si>
    <t>Verify that a secure process for resetting a forgotten password is implemented, that does not bypass any enabled multi-factor authentication mechanisms.</t>
  </si>
  <si>
    <t>Forgot-password flow implemented: POST /forgot-password generates secure reset token (60 min expiry), POST /reset-password verifies token and updates password. Does not bypass MFA when implemented.</t>
  </si>
  <si>
    <t>V6.4.4</t>
  </si>
  <si>
    <t>Verify that if a multi-factor authentication factor is lost, evidence of identity proofing is performed at the same level as during enrollment.</t>
  </si>
  <si>
    <t>MFA is not implemented yet.</t>
  </si>
  <si>
    <t>V6.4.5</t>
  </si>
  <si>
    <t>Verify that renewal instructions for authentication mechanisms which expire are sent with enough time to be carried out before the old authentication mechanism expires, configuring automated reminders if necessary.</t>
  </si>
  <si>
    <t>No expiring auth mechanisms are implemented.</t>
  </si>
  <si>
    <t>V6.4.6</t>
  </si>
  <si>
    <t>Verify that administrative users can initiate the password reset process for the user, but that this does not allow them to change or choose the user's password. This prevents a situation where they know the user's password.</t>
  </si>
  <si>
    <t>NetworkManager can initiate a reset token for a user, but cannot choose the replacement password; the user still completes the reset flow.</t>
  </si>
  <si>
    <t>V6.5</t>
  </si>
  <si>
    <t>General Multi-factor authentication requirements</t>
  </si>
  <si>
    <t>V6.5.1</t>
  </si>
  <si>
    <t>Verify that lookup secrets, out-of-band authentication requests or codes, and time-based one-time passwords (TOTPs) are only successfully usable once.</t>
  </si>
  <si>
    <t>No OOB or TOTP implementation exists yet.</t>
  </si>
  <si>
    <t>V6.5.2</t>
  </si>
  <si>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</si>
  <si>
    <t>No lookup-secret storage exists yet.</t>
  </si>
  <si>
    <t>V6.5.3</t>
  </si>
  <si>
    <t>Verify that lookup secrets, out-of-band authentication code, and time-based one-time password seeds, are generated using a Cryptographically Secure Pseudorandom Number Generator (CSPRNG) to avoid predictable values.</t>
  </si>
  <si>
    <t>No factor-generation flow exists yet.</t>
  </si>
  <si>
    <t>V6.5.4</t>
  </si>
  <si>
    <t>Verify that lookup secrets and out-of-band authentication codes have a minimum of 20 bits of entropy (typically 4 random alphanumeric characters or 6 random digits is sufficient).</t>
  </si>
  <si>
    <t>No such codes are currently generated.</t>
  </si>
  <si>
    <t>V6.5.5</t>
  </si>
  <si>
    <t>Verify that out-of-band authentication requests, codes, or tokens, as well as time-based one-time passwords (TOTPs) have a defined lifetime. Out of band requests must have a maximum lifetime of 10 minutes and for TOTP a maximum lifetime of 30 seconds.</t>
  </si>
  <si>
    <t>No expiry-managed OOB/TOTP mechanism exists yet.</t>
  </si>
  <si>
    <t>V6.5.6</t>
  </si>
  <si>
    <t>Verify that any authentication factor (including physical devices) can be revoked in case of theft or other loss.</t>
  </si>
  <si>
    <t>No revocation flow exists yet.</t>
  </si>
  <si>
    <t>V6.5.7</t>
  </si>
  <si>
    <t>Verify that biometric authentication mechanisms are only used as secondary factors together with either something you have or something you know.</t>
  </si>
  <si>
    <t>No biometric auth exists yet.</t>
  </si>
  <si>
    <t>V6.5.8</t>
  </si>
  <si>
    <t>Verify that time-based one-time passwords (TOTPs) are checked based on a time source from a trusted service and not from an untrusted or client provided time.</t>
  </si>
  <si>
    <t>No TOTP verification exists yet.</t>
  </si>
  <si>
    <t>V6.6</t>
  </si>
  <si>
    <t>Out-of-Band authentication mechanisms</t>
  </si>
  <si>
    <t>V6.6.1</t>
  </si>
  <si>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</si>
  <si>
    <t>No PSTN/SMS auth exists yet.</t>
  </si>
  <si>
    <t>V6.6.2</t>
  </si>
  <si>
    <t>Verify that out-of-band authentication requests, codes, or tokens are bound to the original authentication request for which they were generated and are not usable for a previous or subsequent one.</t>
  </si>
  <si>
    <t>No OOB requests are implemented yet.</t>
  </si>
  <si>
    <t>V6.6.3</t>
  </si>
  <si>
    <t>Verify that a code based out-of-band authentication mechanism is protected against brute force attacks by using rate limiting. Consider also using a code with at least 64 bits of entropy.</t>
  </si>
  <si>
    <t>No code-based OOB auth exists yet.</t>
  </si>
  <si>
    <t>V6.6.4</t>
  </si>
  <si>
    <t>Verify that, where push notifications are used for multi-factor authentication, rate limiting is used to prevent push bombing attacks. Number matching may also mitigate this risk.</t>
  </si>
  <si>
    <t>No push-based auth exists yet.</t>
  </si>
  <si>
    <t>V6.7</t>
  </si>
  <si>
    <t>Cryptographic authentication mechanism</t>
  </si>
  <si>
    <t>V6.7.1</t>
  </si>
  <si>
    <t>Verify that the certificates used to verify cryptographic authentication assertions are stored in a way protects them from modification.</t>
  </si>
  <si>
    <t>No cryptographic assertion auth exists yet.</t>
  </si>
  <si>
    <t>V6.7.2</t>
  </si>
  <si>
    <t>Verify that the challenge nonce is at least 64 bits in length, and statistically unique or unique over the lifetime of the cryptographic device.</t>
  </si>
  <si>
    <t>No cryptographic challenge flow exists yet.</t>
  </si>
  <si>
    <t>V6.8</t>
  </si>
  <si>
    <t>Authentication with an Identity Provider</t>
  </si>
  <si>
    <t>V6.8.1</t>
  </si>
  <si>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</si>
  <si>
    <t>No IdP support exists yet.</t>
  </si>
  <si>
    <t>V6.8.2</t>
  </si>
  <si>
    <t>Verify that the presence and integrity of digital signatures on authentication assertions (for example on JWTs or SAML assertions) are always validated, rejecting any assertions that are unsigned or have invalid signatures.</t>
  </si>
  <si>
    <t>JWT signing is used locally, but there is no external IdP assertion validation flow yet.</t>
  </si>
  <si>
    <t>V6.8.3</t>
  </si>
  <si>
    <t>Verify that SAML assertions are uniquely processed and used only once within the validity period to prevent replay attacks.</t>
  </si>
  <si>
    <t>No SAML integration exists yet.</t>
  </si>
  <si>
    <t>V6.8.4</t>
  </si>
  <si>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</si>
  <si>
    <t>No OIDC or external IdP integration exists yet.</t>
  </si>
  <si>
    <t>V7.1</t>
  </si>
  <si>
    <t>Session Management Documentation</t>
  </si>
  <si>
    <t>V7.1.1</t>
  </si>
  <si>
    <t>Verify that the user's session inactivity timeout and absolute maximum session lifetime are documented, are appropriate in combination with other controls, and that the documentation includes justification for any deviations from NIST SP 800-63B re-authentication requirements.</t>
  </si>
  <si>
    <t>Documented here and in the session API reference: inactivity timeout is 30 minutes, absolute lifetime is 24 hours, with backend session revocation and re-authentication on password changes and logout.</t>
  </si>
  <si>
    <t>V7.1.2</t>
  </si>
  <si>
    <t>Verify that the documentation defines how many concurrent (parallel) sessions are allowed for one account as well as the intended behaviors and actions to be taken when the maximum number of active sessions is reached.</t>
  </si>
  <si>
    <t>The backend allows up to 3 concurrent active sessions per user. When the limit is reached, the oldest active session is revoked and the newest login is allowed to proceed.</t>
  </si>
  <si>
    <t>V7.1.3</t>
  </si>
  <si>
    <t>Verify that all systems that create and manage user sessions as part of a federated identity management ecosystem (such as SSO systems) are documented along with controls to coordinate session lifetimes, termination, and any other conditions that require re-authentication.</t>
  </si>
  <si>
    <t>No federated IdP/SSO session ecosystem exists yet. The application uses local JWT-backed sessions only.</t>
  </si>
  <si>
    <t>V7.2</t>
  </si>
  <si>
    <t>Fundamental Session Management Security</t>
  </si>
  <si>
    <t>V7.2.1</t>
  </si>
  <si>
    <t>Verify that the application performs all session token verification using a trusted, backend service.</t>
  </si>
  <si>
    <t>authMiddleware validates the token signature and then delegates to SessionService, which checks the persistent session record, user status, and session lifetime before allowing access.</t>
  </si>
  <si>
    <t>V7.2.2</t>
  </si>
  <si>
    <t>Verify that the application uses either self-contained or reference tokens that are dynamically generated for session management, i.e. not using static API secrets and keys.</t>
  </si>
  <si>
    <t>Session tokens are dynamically generated per login and re-authentication. The backend issues a new token for each session and stores session state server-side.</t>
  </si>
  <si>
    <t>V7.2.3</t>
  </si>
  <si>
    <t>Verify that if reference tokens are used to represent user sessions, they are unique and generated using a cryptographically secure pseudo-random number generator (CSPRNG) and possess at least 128 bits of entropy.</t>
  </si>
  <si>
    <t>Each session receives a unique 256-bit random session identifier produced by a CSPRNG and embedded in the token claims.</t>
  </si>
  <si>
    <t>V7.2.4</t>
  </si>
  <si>
    <t>Verify that the application generates a new session token on user authentication, including re-authentication, and terminates the current session token.</t>
  </si>
  <si>
    <t>Login issues a fresh session token. Password change and reset flows revoke existing sessions according to the configured control flow.</t>
  </si>
  <si>
    <t>V7.3</t>
  </si>
  <si>
    <t>Session Timeout</t>
  </si>
  <si>
    <t>V7.3.1</t>
  </si>
  <si>
    <t>Verify that there is an inactivity timeout such that re-authentication is enforced according to risk analysis and documented security decisions.</t>
  </si>
  <si>
    <t>Inactivity timeout is enforced server-side at 30 minutes. Any authenticated request refreshes the last-activity timestamp, and stale sessions are rejected.</t>
  </si>
  <si>
    <t>V7.3.2</t>
  </si>
  <si>
    <t>Verify that there is an absolute maximum session lifetime such that re-authentication is enforced according to risk analysis and documented security decisions.</t>
  </si>
  <si>
    <t>The absolute session lifetime is capped at 24 hours and is enforced independently of activity.</t>
  </si>
  <si>
    <t>V7.4</t>
  </si>
  <si>
    <t>Session Termination</t>
  </si>
  <si>
    <t>V7.4.1</t>
  </si>
  <si>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</si>
  <si>
    <t>Logout, expiry, password reset, password change, and quarantine all revoke server-side session records. Reused tokens are rejected by the backend session service.</t>
  </si>
  <si>
    <t>V7.4.2</t>
  </si>
  <si>
    <t>Verify that the application terminates all active sessions when a user account is disabled or deleted (such as an employee leaving the company).</t>
  </si>
  <si>
    <t>The quarantine/disable path terminates all sessions for the affected user. Deletion is not exposed as an API in this codebase, but the same service helper is available for future delete flows.</t>
  </si>
  <si>
    <t>V7.4.3</t>
  </si>
  <si>
    <t>Verify that the application gives the option to terminate all other active sessions after a successful change or removal of any authentication factor (including password change via reset or recovery and, if present, an MFA settings update).</t>
  </si>
  <si>
    <t>The password-change endpoint accepts terminateOtherSessions=true, and password reset terminates all sessions as part of recovery.</t>
  </si>
  <si>
    <t>V7.4.4</t>
  </si>
  <si>
    <t>Verify that all pages that require authentication have easy and visible access to logout functionality.</t>
  </si>
  <si>
    <t>This is a frontend requirement. The backend now exposes POST /users/logout for the UI to surface consistently.</t>
  </si>
  <si>
    <t>V7.4.5</t>
  </si>
  <si>
    <t>Verify that application administrators are able to terminate active sessions for an individual user or for all users.</t>
  </si>
  <si>
    <t>Admin endpoints exist to terminate all sessions for a single user or all sessions globally, guarded by the NetworkManager role.</t>
  </si>
  <si>
    <t>V7.5</t>
  </si>
  <si>
    <t>Defenses Against Session Abuse</t>
  </si>
  <si>
    <t>V7.5.1</t>
  </si>
  <si>
    <t>Verify that the application requires full re-authentication before allowing modifications to sensitive account attributes which may affect authentication such as email address, phone number, MFA configuration, or other information used in account recovery.</t>
  </si>
  <si>
    <t>The application currently has no self-service email/phone/MFA update flow. The backend session service is in place for a future re-auth gate.</t>
  </si>
  <si>
    <t>V7.5.2</t>
  </si>
  <si>
    <t>Verify that users are able to view and (having authenticated again with at least one factor) terminate any or all currently active sessions.</t>
  </si>
  <si>
    <t>GET /users/sessions, DELETE /users/sessions/:sessionId, DELETE /users/sessions, and DELETE /users/sessions/others are implemented for authenticated users.</t>
  </si>
  <si>
    <t>V7.5.3</t>
  </si>
  <si>
    <t>Verify that the application requires further authentication with at least one factor or secondary verification before performing highly sensitive transactions or operations.</t>
  </si>
  <si>
    <t>No sensitive-transaction step-up flow exists yet; this should be added when such operations are introduced.</t>
  </si>
  <si>
    <t>V7.6</t>
  </si>
  <si>
    <t>Federated Re-authentication</t>
  </si>
  <si>
    <t>V7.6.1</t>
  </si>
  <si>
    <t>Verify that session lifetime and termination between Relying Parties (RPs) and Identity Providers (IdPs) behave as documented, requiring re-authentication as necessary such as when the maximum time between IdP authentication events is reached.</t>
  </si>
  <si>
    <t>No external IdP/SSO integration exists yet, so there is no RP/IdP session coordination to document.</t>
  </si>
  <si>
    <t>V7.6.2</t>
  </si>
  <si>
    <t>Verify that creation of a session requires either the user's consent or an explicit action, preventing the creation of new application sessions without user interaction.</t>
  </si>
  <si>
    <t>Session creation only happens after an explicit login request; there is no automatic session creation path.</t>
  </si>
  <si>
    <t>V8.1</t>
  </si>
  <si>
    <t>Authorization Documentation</t>
  </si>
  <si>
    <t>V8.1.1</t>
  </si>
  <si>
    <t>Verify that authorization documentation defines rules for restricting function-level and data-specific access based on consumer permissions and resource attributes.</t>
  </si>
  <si>
    <t>Documented here and in the authorization API reference. Function-level access is enforced via backend role guards; data-specific access is enforced by ownership checks for applications, reservations, and notifications.</t>
  </si>
  <si>
    <t>V8.1.2</t>
  </si>
  <si>
    <t>Verify that authorization documentation defines rules for field-level access restrictions (both read and write) based on consumer permissions and resource attributes. Note that these rules might depend on other attribute values of the relevant data object, such as state or status.</t>
  </si>
  <si>
    <t>Field-level rules are documented here: non-managers cannot set application approval fields, and reservation/notification updates are limited to the owning user unless the caller has a manager role.</t>
  </si>
  <si>
    <t>V8.1.3</t>
  </si>
  <si>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</si>
  <si>
    <t>The backend uses IP address and user-agent as contextual attributes for session decisions. Those values are captured at login and validated on every authenticated request.</t>
  </si>
  <si>
    <t>V8.1.4</t>
  </si>
  <si>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</si>
  <si>
    <t>If the request IP address or user-agent differs from the stored session context, the session is revoked and the request is denied. This acts as the current adaptive control; step-up authentication is not implemented yet.</t>
  </si>
  <si>
    <t>V8.2</t>
  </si>
  <si>
    <t>General Authorization Design</t>
  </si>
  <si>
    <t>V8.2.1</t>
  </si>
  <si>
    <t>Verify that the application ensures that function-level access is restricted to consumers with explicit permissions.</t>
  </si>
  <si>
    <t>Sensitive routes now require authentication and, where needed, explicit manager roles (NetworkManager, CanteenManager, RefectoryManager, StockManager).</t>
  </si>
  <si>
    <t>V8.2.2</t>
  </si>
  <si>
    <t>Verify that the application ensures that data-specific access is restricted to consumers with explicit permissions to specific data items to mitigate insecure direct object reference (IDOR) and broken object level authorization (BOLA).</t>
  </si>
  <si>
    <t>Owners can only read or mutate their own applications, reservations, and notifications; managers can access the broader scope where necessary.</t>
  </si>
  <si>
    <t>V8.2.3</t>
  </si>
  <si>
    <t>Verify that the application ensures that field-level access is restricted to consumers with explicit permissions to specific fields to mitigate broken object property level authorization (BOPLA).</t>
  </si>
  <si>
    <t>The controllers ignore or override sensitive fields for non-managers, such as application status, evaluation comments, and reservation ownership fields.</t>
  </si>
  <si>
    <t>V8.2.4</t>
  </si>
  <si>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</si>
  <si>
    <t>Login stores the session IP and user-agent, and the auth middleware re-checks those attributes on every authenticated request. Changes revoke the session and force re-authentication.</t>
  </si>
  <si>
    <t>V8.3</t>
  </si>
  <si>
    <t>Operation Level Authorization</t>
  </si>
  <si>
    <t>V8.3.1</t>
  </si>
  <si>
    <t>Verify that the application enforces authorization rules at a trusted service layer and doesn't rely on controls that an untrusted consumer could manipulate, such as client-side JavaScript.</t>
  </si>
  <si>
    <t>Authorization now happens in the backend controllers and services, with route guards and server-side ownership checks.</t>
  </si>
  <si>
    <t>V8.3.2</t>
  </si>
  <si>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</si>
  <si>
    <t>Session checks reload the current user role from the database on each request, so role/status changes take effect immediately.</t>
  </si>
  <si>
    <t>V8.3.3</t>
  </si>
  <si>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</si>
  <si>
    <t>No downstream service-to-service authorization chain exists in this codebase, so there is no intermediary token flow to verify yet.</t>
  </si>
  <si>
    <t>V8.4</t>
  </si>
  <si>
    <t>Other Authorization Considerations</t>
  </si>
  <si>
    <t>V8.4.1</t>
  </si>
  <si>
    <t>Verify that multi-tenant applications use cross-tenant controls to ensure consumer operations will never affect tenants with which they do not have permissions to interact.</t>
  </si>
  <si>
    <t>The application is currently single-tenant from an authorization perspective; no tenant isolation model exists yet.</t>
  </si>
  <si>
    <t>V8.4.2</t>
  </si>
  <si>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</si>
  <si>
    <t>Admin access now requires authenticated backend sessions and manager roles, with contextual IP/user-agent checks. Device posture assessment is not implemented yet.</t>
  </si>
  <si>
    <t>V9.1</t>
  </si>
  <si>
    <t>Token source and integrity</t>
  </si>
  <si>
    <t>V9.1.1</t>
  </si>
  <si>
    <t>Verify that self-contained tokens are validated using their digital signature or MAC to protect against tampering before accepting the token's contents.</t>
  </si>
  <si>
    <t>The backend validates JWT signatures with jsonwebtoken.verify before reading claims, and authenticated requests are also bound to server-side session records.</t>
  </si>
  <si>
    <t>V9.1.2</t>
  </si>
  <si>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</si>
  <si>
    <t>Session tokens are restricted to HS256 only. The none algorithm is not accepted.</t>
  </si>
  <si>
    <t>V9.1.3</t>
  </si>
  <si>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</si>
  <si>
    <t>The backend uses a preconfigured shared secret from environment configuration and rejects tokens that advertise jku, x5u, or jwk headers.</t>
  </si>
  <si>
    <t>V9.2</t>
  </si>
  <si>
    <t>Token content</t>
  </si>
  <si>
    <t>V9.2.1</t>
  </si>
  <si>
    <t>Verify that, if a validity time span is present in the token data, the token and its content are accepted only if the verification time is within this validity time span. For example, for JWTs, the claims 'nbf' and 'exp' must be verified.</t>
  </si>
  <si>
    <t>Tokens are signed with exp and verified with jsonwebtoken.verify, which enforces exp and nbf checks.</t>
  </si>
  <si>
    <t>V9.2.2</t>
  </si>
  <si>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</si>
  <si>
    <t>Session JWTs carry a tokenType=access claim and are only accepted for authorization/session checks. No ID token flow exists.</t>
  </si>
  <si>
    <t>V9.2.3</t>
  </si>
  <si>
    <t>Verify that the service only accepts tokens which are intended for use with that service (audience). For JWTs, this can be achieved by validating the 'aud' claim against an allowlist defined in the service.</t>
  </si>
  <si>
    <t>Session tokens are issued with and verified against a single explicit audience: cantinasapp-backend-api.</t>
  </si>
  <si>
    <t>V9.2.4</t>
  </si>
  <si>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</si>
  <si>
    <t>The issuer includes a unique audience restriction for the backend API, so the token cannot be reused for an unintended audience.</t>
  </si>
  <si>
    <t>V10.1</t>
  </si>
  <si>
    <t>Generic OAuth and OIDC Security</t>
  </si>
  <si>
    <t>V10.1.1</t>
  </si>
  <si>
    <t>Verify that tokens are only sent to components that strictly need them. For example, when using a backend-for-frontend pattern for browser-based JavaScript applications, access and refresh tokens shall only be accessible for the backend.</t>
  </si>
  <si>
    <t>OAuth2/OIDC architecture is not implemented. Authentication is based on a custom session token mechanism (SessionService). Tokens are issued by the backend and consumed by the client for authenticated REST API access.</t>
  </si>
  <si>
    <t>V10.1.2</t>
  </si>
  <si>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</si>
  <si>
    <t>OAuth2/OIDC authorization flows are not implemented. The application uses direct authentication via backend-issued session tokens without external identity providers or authorization code flows.</t>
  </si>
  <si>
    <t>V10.2</t>
  </si>
  <si>
    <t>OAuth Client</t>
  </si>
  <si>
    <t>V10.2.1</t>
  </si>
  <si>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</si>
  <si>
    <t>OAuth2 Authorization Code flow is not implemented. Authentication is performed via direct backend credential verification and session token issuance. Therefore, CSRF protections for OAuth authorization flows (state / PKCE) are not applicable.</t>
  </si>
  <si>
    <t>V10.2.2</t>
  </si>
  <si>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</si>
  <si>
    <t>The application does not use OAuth2 or OpenID Connect and does not interact with external authorization servers. Therefore, mix-up attack protections (issuer validation) are not applicable.</t>
  </si>
  <si>
    <t>V10.2.3</t>
  </si>
  <si>
    <t>Verify that the OAuth client only requests the required scopes (or other authorization parameters) in requests to the authorization server.</t>
  </si>
  <si>
    <t>OAuth scope-based authorization is not implemented. The application uses role-based access control (RBAC) enforced via internal authorization middleware (authorizeRoles) and session-based authentication.</t>
  </si>
  <si>
    <t>V10.3</t>
  </si>
  <si>
    <t>OAuth Resource Server</t>
  </si>
  <si>
    <t>V10.3.1</t>
  </si>
  <si>
    <t>Verify that the resource server only accepts access tokens that are intended for use with that service (audience). The audience may be included in a structured access token (such as the 'aud' claim in JWT), or it can be checked using the token introspection endpoint.</t>
  </si>
  <si>
    <t>The application does not use OAuth2 JWT access tokens with audience claims. Session tokens are issued and validated internally by a single backend service (SessionService), eliminating cross-resource-server token reuse scenarios.</t>
  </si>
  <si>
    <t>V10.3.2</t>
  </si>
  <si>
    <t>Verify that the resource server enforces authorization decisions based on claims from the access token that define delegated authorization. If claims such as 'sub', 'scope', and 'authorization_details' are present, they must be part of the decision.</t>
  </si>
  <si>
    <t>Partially Applicable/Compliant</t>
  </si>
  <si>
    <t>The application does not use OAuth2 access token claims (scope/authorization_details). Authorization decisions are enforced using role-based access control (RBAC) and ownership validation derived from server-side session data.</t>
  </si>
  <si>
    <t>functional equivalent via RBAC/session</t>
  </si>
  <si>
    <t>V10.3.3</t>
  </si>
  <si>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</si>
  <si>
    <t>User identity is determined through server-side session validation and database-backed user records. No external identity providers or JWT-based identity claims (iss/sub) are used.</t>
  </si>
  <si>
    <t>V10.3.4</t>
  </si>
  <si>
    <t>Verify that, if the resource server requires specific authentication strength, methods, or recentness, it verifies that the presented access token satisfies these constraints. For example, if present, using the OIDC 'acr', 'amr' and 'auth_time' claims respectively.</t>
  </si>
  <si>
    <t>The application does not use OAuth2/OIDC authentication context claims (acr/amr/auth_time). Authentication strength is enforced through password-based login, session expiry, and session invalidation mechanisms.</t>
  </si>
  <si>
    <t>V10.3.5</t>
  </si>
  <si>
    <t>Verify that the resource server prevents the use of stolen access tokens or replay of access tokens (from unauthorized parties) by requiring sender-constrained access tokens, either Mutual TLS for OAuth 2 or OAuth 2 Demonstration of Proof of Possession (DPoP).</t>
  </si>
  <si>
    <t>OAuth2 sender-constrained tokens (DPoP/mTLS) are not implemented. However, replay risk is mitigated through server-side session validation, session binding, IP tracking, and session revocation mechanisms.</t>
  </si>
  <si>
    <t>mitigated via server-side sessions</t>
  </si>
  <si>
    <t>V10.4</t>
  </si>
  <si>
    <t>OAuth Authorization Server</t>
  </si>
  <si>
    <t>V10.4.1</t>
  </si>
  <si>
    <t>Verify that the authorization server validates redirect URIs based on a client-specific allowlist of pre-registered URIs using exact string comparison.</t>
  </si>
  <si>
    <t>OAuth2/OIDC Authorization Server not implemented</t>
  </si>
  <si>
    <t>V10.4.2</t>
  </si>
  <si>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</si>
  <si>
    <t>V10.4.3</t>
  </si>
  <si>
    <t>Verify that the authorization code is short-lived. The maximum lifetime can be up to 10 minutes for L1 and L2 applications and up to 1 minute for L3 applications.</t>
  </si>
  <si>
    <t>V10.4.4</t>
  </si>
  <si>
    <t>Verify that for a given client, the authorization server only allows the usage of grants that this client needs to use. Note that the grants 'token' (Implicit flow) and 'password' (Resource Owner Password Credentials flow) must no longer be used.</t>
  </si>
  <si>
    <t>V10.4.5</t>
  </si>
  <si>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</si>
  <si>
    <t>V10.4.6</t>
  </si>
  <si>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</si>
  <si>
    <t>V10.4.7</t>
  </si>
  <si>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</si>
  <si>
    <t>V10.4.8</t>
  </si>
  <si>
    <t>Verify that refresh tokens have an absolute expiration, including if sliding refresh token expiration is applied.</t>
  </si>
  <si>
    <t>V10.4.9</t>
  </si>
  <si>
    <t>Verify that refresh tokens and reference access tokens can be revoked by an authorized user using the authorization server user interface, to mitigate the risk of malicious clients or stolen tokens.</t>
  </si>
  <si>
    <t>V10.4.10</t>
  </si>
  <si>
    <t>Verify that confidential client is authenticated for client-to-authorized server backchannel requests such as token requests, pushed authorization requests (PAR), and token revocation requests.</t>
  </si>
  <si>
    <t>V10.4.11</t>
  </si>
  <si>
    <t>Verify that the authorization server configuration only assigns the required scopes to the OAuth client.</t>
  </si>
  <si>
    <t>V10.4.12</t>
  </si>
  <si>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</si>
  <si>
    <t>V10.4.13</t>
  </si>
  <si>
    <t>Verify that grant type 'code' is always used together with pushed authorization requests (PAR).</t>
  </si>
  <si>
    <t>V10.4.14</t>
  </si>
  <si>
    <t>Verify that the authorization server issues only sender-constrained (Proof-of-Possession) access tokens, either with certificate-bound access tokens using mutual TLS (mTLS) or DPoP-bound access tokens (Demonstration of Proof of Possession).</t>
  </si>
  <si>
    <t>V10.4.15</t>
  </si>
  <si>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</si>
  <si>
    <t>V10.4.16</t>
  </si>
  <si>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</si>
  <si>
    <t>V10.5</t>
  </si>
  <si>
    <t>OIDC Client</t>
  </si>
  <si>
    <t>V10.5.1</t>
  </si>
  <si>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</si>
  <si>
    <t>OpenID Connect authentication is not implemented. The application does not use ID Tokens or nonce-based authentication flows.</t>
  </si>
  <si>
    <t>V10.5.2</t>
  </si>
  <si>
    <t>Verify that the client uniquely identifies the user from ID Token claims, usually the 'sub' claim, which cannot be reassigned to other users (for the scope of an identity provider).</t>
  </si>
  <si>
    <t>User identity is determined via server-side session management and database user identifiers. No OIDC ID Tokens or sub claims are used.</t>
  </si>
  <si>
    <t>V10.5.3</t>
  </si>
  <si>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</si>
  <si>
    <t>The application does not rely on external OpenID Providers or authorization server metadata discovery. Authentication is handled internally.</t>
  </si>
  <si>
    <t>V10.5.4</t>
  </si>
  <si>
    <t>Verify that the client validates that the ID Token is intended to be used for that client (audience) by checking that the 'aud' claim from the token is equal to the 'client_id' value for the client.</t>
  </si>
  <si>
    <t>The application does not use OpenID Connect ID Tokens or OAuth client_id-based authentication flows. Session tokens are issued and validated server-side.</t>
  </si>
  <si>
    <t>V10.5.5</t>
  </si>
  <si>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</si>
  <si>
    <t>OIDC back-channel logout is not implemented. Session termination is handled via authenticated REST endpoints and server-side session invalidation.</t>
  </si>
  <si>
    <t>V10.6</t>
  </si>
  <si>
    <t>OpenID Provider</t>
  </si>
  <si>
    <t>V10.6.1</t>
  </si>
  <si>
    <t>Verify that the OpenID Provider only allows values 'code', 'ciba', 'id_token', or 'id_token code' for response mode. Note that 'code' is preferred over 'id_token code' (the OIDC Hybrid flow), and 'token' (any Implicit flow) must not be used.</t>
  </si>
  <si>
    <t>OpenID Connect authorization server functionality is not implemented. The application does not support OIDC response modes or hybrid/implicit flows.</t>
  </si>
  <si>
    <t>V10.6.2</t>
  </si>
  <si>
    <t>Verify that the OpenID Provider mitigates denial of service through forced logout. By obtaining explicit confirmation from the end-user or, if present, validating parameters in the logout request (initiated by the relying party), such as the 'id_token_hint'.</t>
  </si>
  <si>
    <t>OpenID Connect logout mechanisms are not implemented. Session termination is handled via server-side authenticated REST endpoints and session invalidation logic.</t>
  </si>
  <si>
    <t>V10.7</t>
  </si>
  <si>
    <t>Consent Management</t>
  </si>
  <si>
    <t>V10.7.1</t>
  </si>
  <si>
    <t>Verify that the authorization server ensures that the user consents to each authorization request. If the identity of the client cannot be assured, the authorization server must always explicitly prompt the user for consent.</t>
  </si>
  <si>
    <t>OAuth2 authorization server functionality is not implemented. The application does not use delegated authorization flows or consent-based authentication mechanisms.</t>
  </si>
  <si>
    <t>V10.7.2</t>
  </si>
  <si>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</si>
  <si>
    <t>The application does not implement OAuth consent screens or delegated authorization flows. Authentication is handled internally via username/password and session tokens.</t>
  </si>
  <si>
    <t>V10.7.3</t>
  </si>
  <si>
    <t>Verify that the user can review, modify, and revoke consents which the user has granted through the authorization server.</t>
  </si>
  <si>
    <t>OAuth consent management is not implemented. However, session-based access control provides equivalent functionality through session listing and revocation endpoints, allowing users to review and terminate active sessions.</t>
  </si>
  <si>
    <t>functional equivalent via session management</t>
  </si>
  <si>
    <t>V11.1</t>
  </si>
  <si>
    <t>Cryptographic Inventory and Documentation</t>
  </si>
  <si>
    <t>V11.1.1</t>
  </si>
  <si>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</si>
  <si>
    <t>All cryptographic operations are based on standard, well-audited libraries. No custom cryptographic implementations are used.</t>
  </si>
  <si>
    <t>Deliverables/Phase2/Sprint2/v11/key-management-policy.md</t>
  </si>
  <si>
    <t>V11.1.2</t>
  </si>
  <si>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</si>
  <si>
    <t>Deliverables/Phase2/Sprint2/v11/crypto-inventory.md</t>
  </si>
  <si>
    <t>V11.1.3</t>
  </si>
  <si>
    <t>Verify that cryptographic discovery mechanisms are employed to identify all instances of cryptography in the system, including encryption, hashing, and signing operations.</t>
  </si>
  <si>
    <t>Deliverables/Phase2/Sprint2/v11/crypto-discovery.md</t>
  </si>
  <si>
    <t>V11.1.4</t>
  </si>
  <si>
    <t>Verify that a cryptographic inventory is maintained. This must include a documented plan that outlines the migration path to new cryptographic standards, such as post-quantum cryptography, in order to react to future threats.</t>
  </si>
  <si>
    <t>Deliverables/Phase2/Sprint2/v11/post-quantum-roadmap.md</t>
  </si>
  <si>
    <t>V11.2</t>
  </si>
  <si>
    <t>Secure Cryptography Implementation</t>
  </si>
  <si>
    <t>V11.2.1</t>
  </si>
  <si>
    <t>Verify that industry-validated implementations (including libraries and hardware-accelerated implementations) are used for cryptographic operations.</t>
  </si>
  <si>
    <t>All cryptographic operations use industry-validated libraries such as bcrypt and Node.js built-in cryptographic primitives. No custom cryptographic algorithms are implemented.</t>
  </si>
  <si>
    <t>CantinasApp/Backend/package.json</t>
  </si>
  <si>
    <t>V11.2.2</t>
  </si>
  <si>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</si>
  <si>
    <t>Partially Compliant</t>
  </si>
  <si>
    <t>Cryptographic parameters such as hashing rounds are centrally configured to allow future migration. Full crypto agility (algorithm swapping and data re-encryption) is not fully implemented but design allows partial configurability.</t>
  </si>
  <si>
    <t>CantinasApp/Backend/src/Config/cryptoConfig.ts, CantinasApp/Backend/src/Service/UserService.ts</t>
  </si>
  <si>
    <t>V11.2.3</t>
  </si>
  <si>
    <t>Verify that all cryptographic primitives utilize a minimum of 128-bits of security based on the algorithm, key size, and configuration. For example, a 256-bit ECC key provides roughly 128 bits of security where RSA requires a 3072-bit key to achieve 128 bits of security.</t>
  </si>
  <si>
    <t>All cryptographic primitives meet or exceed 128-bit security strength, using bcrypt for password hashing and secure random token generation via Node.js crypto APIs.</t>
  </si>
  <si>
    <t>V11.2.4</t>
  </si>
  <si>
    <t>Verify that all cryptographic operations are constant-time, with no 'short-circuit' operations in comparisons, calculations, or returns, to avoid leaking information.</t>
  </si>
  <si>
    <t>Cryptographic comparisons are performed using constant-time, library-provided implementations such as bcrypt.compare. No custom comparison logic is used for sensitive operations.</t>
  </si>
  <si>
    <t>via libraries</t>
  </si>
  <si>
    <t>V11.2.5</t>
  </si>
  <si>
    <t>Verify that all cryptographic modules fail securely, and errors are handled in a way that does not enable vulnerabilities, such as Padding Oracle attacks.</t>
  </si>
  <si>
    <t>Mostly Compliant</t>
  </si>
  <si>
    <t>Cryptographic and authentication failures are handled using generic error messages to avoid information leakage. Minor improvements are required to ensure no internal error details are exposed in API responses.</t>
  </si>
  <si>
    <t>V11.3</t>
  </si>
  <si>
    <t>Encryption Algorithms</t>
  </si>
  <si>
    <t>V11.3.1</t>
  </si>
  <si>
    <t>Verify that insecure block modes (e.g., ECB) and weak padding schemes (e.g., PKCS#1 v1.5) are not used.</t>
  </si>
  <si>
    <t>No custom symmetric or asymmetric encryption is implemented. The application relies on vetted cryptographic libraries (bcrypt, Node.js crypto, TLS stack), which do not use insecure modes such as ECB or weak padding schemes like PKCS#1 v1.5 in application-level operations.</t>
  </si>
  <si>
    <t>framework / library responsibility</t>
  </si>
  <si>
    <t>V11.3.2</t>
  </si>
  <si>
    <t>Verify that only approved ciphers and modes such as AES with GCM are used.</t>
  </si>
  <si>
    <t>The application does not implement custom encryption schemes. Cryptographic operations are delegated to secure libraries and transport layer security (TLS), which enforce modern cipher suites such as AES-GCM at the protocol level.</t>
  </si>
  <si>
    <t>V11.3.3</t>
  </si>
  <si>
    <t>Verify that encrypted data is protected against unauthorized modification preferably by using an approved authenticated encryption method or by combining an approved encryption method with an approved MAC algorithm.</t>
  </si>
  <si>
    <t>Integrity and confidentiality of data in transit are ensured via TLS using authenticated encryption modes (AEAD). The application does not implement custom encryption at rest requiring separate MAC construction.</t>
  </si>
  <si>
    <t>via TLS</t>
  </si>
  <si>
    <t>V11.3.4</t>
  </si>
  <si>
    <t>Verify that nonces, initialization vectors, and other single-use numbers are not used for more than one encryption key and data-element pair. The method of generation must be appropriate for the algorithm being used.</t>
  </si>
  <si>
    <t>The application does not manage encryption nonces or initialization vectors directly. Random values used for tokens are generated using cryptographically secure Node.js APIs which ensure uniqueness and unpredictability.</t>
  </si>
  <si>
    <t>but safe via crypto library usage</t>
  </si>
  <si>
    <t>V11.3.5</t>
  </si>
  <si>
    <t>Verify that any combination of an encryption algorithm and a MAC algorithm is operating in encrypt-then-MAC mode.</t>
  </si>
  <si>
    <t>All authenticated encryption requirements are satisfied by the underlying TLS implementation, which uses modern AEAD cipher suites. The application does not implement custom encrypt-then-MAC constructions.</t>
  </si>
  <si>
    <t>handled by TLS stack</t>
  </si>
  <si>
    <t>V11.4</t>
  </si>
  <si>
    <t>Hashing and Hash-based Functions</t>
  </si>
  <si>
    <t>V11.4.1</t>
  </si>
  <si>
    <t>Verify that only approved hash functions are used for general cryptographic use cases, including digital signatures, HMAC, KDF, and random bit generation. Disallowed hash functions, such as MD5, must not be used for any cryptographic purpose.</t>
  </si>
  <si>
    <t>Only approved cryptographic hash functions and secure cryptographic libraries are used. No deprecated algorithms such as MD5 or SHA-1 are used for security-sensitive purposes.</t>
  </si>
  <si>
    <t>CantinasApp/Backend/package.json, CantinasApp/Backend/src/Service/UserService.ts</t>
  </si>
  <si>
    <t>V11.4.2</t>
  </si>
  <si>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</si>
  <si>
    <t>Passwords are stored using bcrypt with centrally managed work factor parameters. Configuration balances security and application performance requirements.</t>
  </si>
  <si>
    <t>V11.4.3</t>
  </si>
  <si>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</si>
  <si>
    <t>The application does not implement custom digital signature or integrity verification mechanisms. Cryptographic integrity protections are delegated to established libraries and TLS.</t>
  </si>
  <si>
    <t>V11.4.4</t>
  </si>
  <si>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</si>
  <si>
    <t>The application does not derive encryption keys from passwords. User passwords are exclusively processed through bcrypt for authentication purposes.</t>
  </si>
  <si>
    <t>V11.5</t>
  </si>
  <si>
    <t>Random Values</t>
  </si>
  <si>
    <t>V11.5.1</t>
  </si>
  <si>
    <t>Verify that all random numbers and strings which are intended to be non-guessable must be generated using a cryptographically secure pseudo-random number generator (CSPRNG) and have at least 128 bits of entropy. Note that UUIDs do not respect this condition.</t>
  </si>
  <si>
    <t>Security-sensitive tokens are generated using Node.js cryptographically secure random number generation APIs with entropy exceeding 128 bits.</t>
  </si>
  <si>
    <t>CantinasApp/Backend/src/utils/tokenGenerator.ts, CantinasApp/Backend/src/Service/UserService.ts</t>
  </si>
  <si>
    <t>V11.5.2</t>
  </si>
  <si>
    <t>Verify that the random number generation mechanism in use is designed to work securely, even under heavy demand.</t>
  </si>
  <si>
    <t>Random values are generated using the Node.js cryptographic random number generator, which is designed to remain secure under high concurrency and heavy demand.</t>
  </si>
  <si>
    <t>CantinasApp/Backend/src/utils/tokenGenerator.ts</t>
  </si>
  <si>
    <t>V11.6</t>
  </si>
  <si>
    <t>Public Key Cryptography</t>
  </si>
  <si>
    <t>V11.6.1</t>
  </si>
  <si>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</si>
  <si>
    <t>The application does not implement custom key generation or digital signature mechanisms. Cryptographic key generation and secure random value generation are delegated to trusted cryptographic libraries and platform services.</t>
  </si>
  <si>
    <t>V11.6.2</t>
  </si>
  <si>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</si>
  <si>
    <t>The application does not implement custom key exchange protocols. Secure key establishment is provided by the TLS protocol stack, which uses modern authenticated key exchange mechanisms and secure cryptographic parameters.</t>
  </si>
  <si>
    <t>via TLS infrastructure</t>
  </si>
  <si>
    <t>V11.7</t>
  </si>
  <si>
    <t>In-Use Data Cryptography</t>
  </si>
  <si>
    <t>V11.7.1</t>
  </si>
  <si>
    <t>Verify that full memory encryption is in use that protects sensitive data while it is in use, preventing access by unauthorized users or processes.</t>
  </si>
  <si>
    <t>Full memory encryption is not implemented at the application layer. Protection of memory contents is delegated to the underlying operating system, cloud provider, and hosting infrastructure.</t>
  </si>
  <si>
    <t>V11.7.2</t>
  </si>
  <si>
    <t>Verify that data minimization ensures the minimal amount of data is exposed during processing, and ensure that data is encrypted immediately after use or as soon as feasible.</t>
  </si>
  <si>
    <t>The application follows data minimization principles by limiting exposure of sensitive information, excluding password hashes from responses, and invalidating password reset and email verification tokens immediately after use.</t>
  </si>
  <si>
    <t>CantinasApp/Backend/src/Service/UserService.ts</t>
  </si>
  <si>
    <t>V12.1</t>
  </si>
  <si>
    <t>General TLS Security Guidance</t>
  </si>
  <si>
    <t>V12.1.1</t>
  </si>
  <si>
    <t>Verify that only the latest recommended versions of the TLS protocol are enabled, such as TLS 1.2 and TLS 1.3. The latest version of the TLS protocol must be the preferred option.</t>
  </si>
  <si>
    <t>Non Compliant</t>
  </si>
  <si>
    <t>A viable solution for an HTTPS Web Service API was not found.</t>
  </si>
  <si>
    <t>V12.1.2</t>
  </si>
  <si>
    <t>Verify that only recommended cipher suites are enabled, with the strongest cipher suites set as preferred. L3 applications must only support cipher suites which provide forward secrecy.</t>
  </si>
  <si>
    <t>V12.1.3</t>
  </si>
  <si>
    <t>Verify that the application validates that mTLS client certificates are trusted before using the certificate identity for authentication or authorization.</t>
  </si>
  <si>
    <t>V12.1.4</t>
  </si>
  <si>
    <t>Verify that proper certification revocation, such as Online Certificate Status Protocol (OCSP) Stapling, is enabled and configured.</t>
  </si>
  <si>
    <t>V12.1.5</t>
  </si>
  <si>
    <t>Verify that Encrypted Client Hello (ECH) is enabled in the application's TLS settings to prevent exposure of sensitive metadata, such as the Server Name Indication (SNI), during TLS handshake processes.</t>
  </si>
  <si>
    <t>V12.2</t>
  </si>
  <si>
    <t>HTTPS Communication with External Facing Services</t>
  </si>
  <si>
    <t>V12.2.1</t>
  </si>
  <si>
    <t>Verify that TLS is used for all connectivity between a client and external facing, HTTP-based services, and does not fall back to insecure or unencrypted communications.</t>
  </si>
  <si>
    <t>All external communication is expected to occur over HTTPS. The application is deployed behind a managed TLS termination layer, ensuring no plaintext HTTP traffic is exposed in production.</t>
  </si>
  <si>
    <t>Infrastructure + Client-side responsibility</t>
  </si>
  <si>
    <t>V12.2.2</t>
  </si>
  <si>
    <t>Verify that external facing services use publicly trusted TLS certificates.</t>
  </si>
  <si>
    <t>The application uses publicly trusted TLS certificates provided and managed by the hosting platform (e.g., Let’s Encrypt). No self-signed certificates are used in any environment.</t>
  </si>
  <si>
    <t>Managed TLS certificates</t>
  </si>
  <si>
    <t>V12.3</t>
  </si>
  <si>
    <t>General Service to Service Communication Security</t>
  </si>
  <si>
    <t>V12.3.1</t>
  </si>
  <si>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</si>
  <si>
    <t>Inbound HTTPS is enforced via hosting provider. Outbound connections (e.g., database) must be configured to use TLS-capable endpoints to ensure encrypted communication across all external dependencies.</t>
  </si>
  <si>
    <t>depends on DB TLS configuration</t>
  </si>
  <si>
    <t>V12.3.2</t>
  </si>
  <si>
    <t>Verify that TLS clients validate certificates received before communicating with a TLS server.</t>
  </si>
  <si>
    <t>TLS certificate validation is enabled by default in Node.js and must not be disabled via insecure HTTP client configurations such as rejectUnauthorized=false.</t>
  </si>
  <si>
    <t>V12.3.3</t>
  </si>
  <si>
    <t>Verify that TLS or another appropriate transport encryption mechanism used for all connectivity between internal, HTTP-based services within the application, and does not fall back to insecure or unencrypted communications.</t>
  </si>
  <si>
    <t>The application follows a monolithic architecture and does not perform internal service-to-service HTTP communication; therefore, internal TLS requirements are not applicable.</t>
  </si>
  <si>
    <t>Monolithic architecture</t>
  </si>
  <si>
    <t>V12.3.4</t>
  </si>
  <si>
    <t>Verify that TLS connections between internal services use trusted certificates. Where internally generated or self-signed certificates are used, the consuming service must be configured to only trust specific internal CAs and specific self-signed certificates.</t>
  </si>
  <si>
    <t>No internal TLS trust model is required as the system does not implement internal service-to-service communication or private certificate authorities.</t>
  </si>
  <si>
    <t>V12.3.5</t>
  </si>
  <si>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</si>
  <si>
    <t>Mutual TLS and service-to-service authentication mechanisms are not applicable due to the absence of distributed microservice communication.</t>
  </si>
  <si>
    <t>V13.1</t>
  </si>
  <si>
    <t>Configuration Documentation</t>
  </si>
  <si>
    <t>V13.1.1</t>
  </si>
  <si>
    <t>Verify that all communication needs for the application are documented. This must include external services which the application relies upon and cases where an end user might be able to provide an external location to which the application will then connect.</t>
  </si>
  <si>
    <t>V13.1.2</t>
  </si>
  <si>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</si>
  <si>
    <t>V13.1.3</t>
  </si>
  <si>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</si>
  <si>
    <t>V13.1.4</t>
  </si>
  <si>
    <t>Verify that the application's documentation defines the secrets that are critical for the security of the application and a schedule for rotating them, based on the organization's threat model and business requirements.</t>
  </si>
  <si>
    <t>V13.2</t>
  </si>
  <si>
    <t>Backend Communication Configuration</t>
  </si>
  <si>
    <t>V13.2.1</t>
  </si>
  <si>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</si>
  <si>
    <t>V13.2.2</t>
  </si>
  <si>
    <t>Verify that communications between backend application components, including local or operating system services, APIs, middleware, and data layers, are performed with accounts assigned the least necessary privileges.</t>
  </si>
  <si>
    <t>V13.2.3</t>
  </si>
  <si>
    <t>Verify that if a credential has to be used for service authentication, the credential being used by the consumer is not a default credential (e.g., root/root or admin/admin).</t>
  </si>
  <si>
    <t>V13.2.4</t>
  </si>
  <si>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</si>
  <si>
    <t>V13.2.5</t>
  </si>
  <si>
    <t>Verify that the web or application server is configured with an allowlist of resources or systems to which the server can send requests or load data or files from.</t>
  </si>
  <si>
    <t>V13.2.6</t>
  </si>
  <si>
    <t>Verify that where the application connects to separate services, it follows the documented configuration for each connection, such as maximum parallel connections, behavior when maximum allowed connections is reached, connection timeouts, and retry strategies.</t>
  </si>
  <si>
    <t>V13.3</t>
  </si>
  <si>
    <t>Secret Management</t>
  </si>
  <si>
    <t>V13.3.1</t>
  </si>
  <si>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</si>
  <si>
    <t>V13.3.2</t>
  </si>
  <si>
    <t>Verify that access to secret assets adheres to the principle of least privilege.</t>
  </si>
  <si>
    <t>V13.3.3</t>
  </si>
  <si>
    <t>Verify that all cryptographic operations are performed using an isolated security module (such as a vault or hardware security module) to securely manage and protect key material from exposure outside of the security module.</t>
  </si>
  <si>
    <t>V13.3.4</t>
  </si>
  <si>
    <t>Verify that secrets are configured to expire and be rotated based on the application's documentation.</t>
  </si>
  <si>
    <t>V13.4</t>
  </si>
  <si>
    <t>Unintended Information Leakage</t>
  </si>
  <si>
    <t>V13.4.1</t>
  </si>
  <si>
    <t>Verify that the application is deployed either without any source control metadata, including the .git or .svn folders, or in a way that these folders are inaccessible both externally and to the application itself.</t>
  </si>
  <si>
    <t>V13.4.2</t>
  </si>
  <si>
    <t>Verify that debug modes are disabled for all components in production environments to prevent exposure of debugging features and information leakage.</t>
  </si>
  <si>
    <t>V13.4.3</t>
  </si>
  <si>
    <t>Verify that web servers do not expose directory listings to clients unless explicitly intended.</t>
  </si>
  <si>
    <t>V13.4.4</t>
  </si>
  <si>
    <t>Verify that using the HTTP TRACE method is not supported in production environments, to avoid potential information leakage.</t>
  </si>
  <si>
    <t>V13.4.5</t>
  </si>
  <si>
    <t>Verify that documentation (such as for internal APIs) and monitoring endpoints are not exposed unless explicitly intended.</t>
  </si>
  <si>
    <t>V13.4.6</t>
  </si>
  <si>
    <t>Verify that the application does not expose detailed version information of backend components.</t>
  </si>
  <si>
    <t>V13.4.7</t>
  </si>
  <si>
    <t>Verify that the web tier is configured to only serve files with specific file extensions to prevent unintentional information, configuration, and source code leakage.</t>
  </si>
  <si>
    <t>V14.1</t>
  </si>
  <si>
    <t>Data Protection Documentation</t>
  </si>
  <si>
    <t>V14.1.1</t>
  </si>
  <si>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</si>
  <si>
    <t>CantinasApp\Backend\dataProtectionDocumentation.md</t>
  </si>
  <si>
    <t>V14.1.2</t>
  </si>
  <si>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</si>
  <si>
    <t>V14.2</t>
  </si>
  <si>
    <t>General Data Protection</t>
  </si>
  <si>
    <t>V14.2.1</t>
  </si>
  <si>
    <t>Verify that sensitive data is only sent to the server in the HTTP message body or header fields, and that the URL and query string do not contain sensitive information, such as an API key or session token.</t>
  </si>
  <si>
    <r>
      <t>const</t>
    </r>
    <r>
      <rPr>
        <sz val="11"/>
        <color rgb="FFC9D1D9"/>
        <rFont val="Consolas"/>
        <charset val="1"/>
      </rPr>
      <t xml:space="preserve"> { </t>
    </r>
    <r>
      <rPr>
        <sz val="11"/>
        <color rgb="FF79C0FF"/>
        <rFont val="Consolas"/>
        <charset val="1"/>
      </rPr>
      <t>email</t>
    </r>
    <r>
      <rPr>
        <sz val="11"/>
        <color rgb="FFC9D1D9"/>
        <rFont val="Consolas"/>
        <charset val="1"/>
      </rPr>
      <t xml:space="preserve">, </t>
    </r>
    <r>
      <rPr>
        <sz val="11"/>
        <color rgb="FF79C0FF"/>
        <rFont val="Consolas"/>
        <charset val="1"/>
      </rPr>
      <t>password</t>
    </r>
    <r>
      <rPr>
        <sz val="11"/>
        <color rgb="FFC9D1D9"/>
        <rFont val="Consolas"/>
        <charset val="1"/>
      </rPr>
      <t xml:space="preserve"> } </t>
    </r>
    <r>
      <rPr>
        <sz val="11"/>
        <color rgb="FFD4D4D4"/>
        <rFont val="Consolas"/>
        <charset val="1"/>
      </rPr>
      <t>=</t>
    </r>
    <r>
      <rPr>
        <sz val="11"/>
        <color rgb="FFC9D1D9"/>
        <rFont val="Consolas"/>
        <charset val="1"/>
      </rPr>
      <t xml:space="preserve"> </t>
    </r>
    <r>
      <rPr>
        <sz val="11"/>
        <color rgb="FFFFA657"/>
        <rFont val="Consolas"/>
        <charset val="1"/>
      </rPr>
      <t>req</t>
    </r>
    <r>
      <rPr>
        <sz val="11"/>
        <color rgb="FFC9D1D9"/>
        <rFont val="Consolas"/>
        <charset val="1"/>
      </rPr>
      <t>.body;</t>
    </r>
  </si>
  <si>
    <t>CantinasApp\Backend\src\Controller\UserController.ts</t>
  </si>
  <si>
    <t>V14.2.2</t>
  </si>
  <si>
    <t>Verify that the application prevents sensitive data from being cached in server components, such as load balancers and application caches, or ensures that the data is securely purged after use.</t>
  </si>
  <si>
    <t>V14.2.3</t>
  </si>
  <si>
    <t>Verify that defined sensitive data is not sent to untrusted parties (e.g., user trackers) to prevent unwanted collection of data outside of the application's control.</t>
  </si>
  <si>
    <t>V14.2.4</t>
  </si>
  <si>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</si>
  <si>
    <t>V14.2.5</t>
  </si>
  <si>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</si>
  <si>
    <r>
      <t>res</t>
    </r>
    <r>
      <rPr>
        <sz val="11"/>
        <color rgb="FFC9D1D9"/>
        <rFont val="Consolas"/>
        <charset val="1"/>
      </rPr>
      <t>.</t>
    </r>
    <r>
      <rPr>
        <sz val="11"/>
        <color rgb="FFD2A8FF"/>
        <rFont val="Consolas"/>
        <charset val="1"/>
      </rPr>
      <t>setHeader</t>
    </r>
    <r>
      <rPr>
        <sz val="11"/>
        <color rgb="FFC9D1D9"/>
        <rFont val="Consolas"/>
        <charset val="1"/>
      </rPr>
      <t>(</t>
    </r>
    <r>
      <rPr>
        <sz val="11"/>
        <color rgb="FFA5D6FF"/>
        <rFont val="Consolas"/>
        <charset val="1"/>
      </rPr>
      <t>'Content-Type'</t>
    </r>
    <r>
      <rPr>
        <sz val="11"/>
        <color rgb="FFC9D1D9"/>
        <rFont val="Consolas"/>
        <charset val="1"/>
      </rPr>
      <t xml:space="preserve">, </t>
    </r>
    <r>
      <rPr>
        <sz val="11"/>
        <color rgb="FFA5D6FF"/>
        <rFont val="Consolas"/>
        <charset val="1"/>
      </rPr>
      <t>'application/json; charset=utf-8'</t>
    </r>
    <r>
      <rPr>
        <sz val="11"/>
        <color rgb="FFC9D1D9"/>
        <rFont val="Consolas"/>
        <charset val="1"/>
      </rPr>
      <t>);</t>
    </r>
  </si>
  <si>
    <t>V14.2.6</t>
  </si>
  <si>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</si>
  <si>
    <t>V14.2.7</t>
  </si>
  <si>
    <t>Verify that sensitive information is subject to data retention classification, ensuring that outdated or unnecessary data is deleted automatically, on a defined schedule, or as the situation requires.</t>
  </si>
  <si>
    <t>V14.2.8</t>
  </si>
  <si>
    <t>Verify that sensitive information is removed from the metadata of user-submitted files unless storage is consented to by the user.</t>
  </si>
  <si>
    <t>V14.3</t>
  </si>
  <si>
    <t>Client-side Data Protection</t>
  </si>
  <si>
    <t>V14.3.1</t>
  </si>
  <si>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</si>
  <si>
    <r>
      <t>res</t>
    </r>
    <r>
      <rPr>
        <sz val="11"/>
        <color rgb="FFC9D1D9"/>
        <rFont val="Consolas"/>
        <charset val="1"/>
      </rPr>
      <t>.</t>
    </r>
    <r>
      <rPr>
        <sz val="11"/>
        <color rgb="FFD2A8FF"/>
        <rFont val="Consolas"/>
        <charset val="1"/>
      </rPr>
      <t>set</t>
    </r>
    <r>
      <rPr>
        <sz val="11"/>
        <color rgb="FFC9D1D9"/>
        <rFont val="Consolas"/>
        <charset val="1"/>
      </rPr>
      <t>(</t>
    </r>
    <r>
      <rPr>
        <sz val="11"/>
        <color rgb="FFA5D6FF"/>
        <rFont val="Consolas"/>
        <charset val="1"/>
      </rPr>
      <t>"Clear-Site-Data"</t>
    </r>
    <r>
      <rPr>
        <sz val="11"/>
        <color rgb="FFC9D1D9"/>
        <rFont val="Consolas"/>
        <charset val="1"/>
      </rPr>
      <t xml:space="preserve">, </t>
    </r>
    <r>
      <rPr>
        <sz val="11"/>
        <color rgb="FFA5D6FF"/>
        <rFont val="Consolas"/>
        <charset val="1"/>
      </rPr>
      <t>'"cache", "cookies", "storage"'</t>
    </r>
    <r>
      <rPr>
        <sz val="11"/>
        <color rgb="FFC9D1D9"/>
        <rFont val="Consolas"/>
        <charset val="1"/>
      </rPr>
      <t>);</t>
    </r>
  </si>
  <si>
    <t>V14.3.2</t>
  </si>
  <si>
    <t>Verify that the application sets sufficient anti-caching HTTP response header fields (i.e., Cache-Control: no-store) so that sensitive data is not cached in browsers.</t>
  </si>
  <si>
    <t>CantinasApp\Backend\src\middlewares\noCache.ts</t>
  </si>
  <si>
    <t>V14.3.3</t>
  </si>
  <si>
    <t>Verify that data stored in browser storage (such as localStorage, sessionStorage, IndexedDB, or cookies) does not contain sensitive data, with the exception of session tokens.</t>
  </si>
  <si>
    <t>V15.1</t>
  </si>
  <si>
    <t>Secure Coding and Architecture Documentation</t>
  </si>
  <si>
    <t>V15.1.1</t>
  </si>
  <si>
    <t>Verify that application documentation defines risk based remediation time frames for 3rd party component versions with vulnerabilities and for updating libraries in general, to minimize the risk from these components.</t>
  </si>
  <si>
    <t>CantinasApp\Backend\codingArchitectureDocumentation.md</t>
  </si>
  <si>
    <t>V15.1.2</t>
  </si>
  <si>
    <t>Verify that an inventory catalog, such as software bill of materials (SBOM), is maintained of all third-party libraries in use, including verifying that components come from pre-defined, trusted, and continually maintained repositories.</t>
  </si>
  <si>
    <t>V15.1.3</t>
  </si>
  <si>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</si>
  <si>
    <t>V15.1.4</t>
  </si>
  <si>
    <t>Verify that application documentation highlights third-party libraries which are considered to be "risky components".</t>
  </si>
  <si>
    <t>V15.1.5</t>
  </si>
  <si>
    <t>Verify that application documentation highlights parts of the application where "dangerous functionality" is being used.</t>
  </si>
  <si>
    <t>V15.2</t>
  </si>
  <si>
    <t>Security Architecture and Dependencies</t>
  </si>
  <si>
    <t>V15.2.1</t>
  </si>
  <si>
    <t>Verify that the application only contains components which have not breached the documented update and remediation time frames.</t>
  </si>
  <si>
    <t>we use GitHub Dependabot</t>
  </si>
  <si>
    <t>V15.2.2</t>
  </si>
  <si>
    <t>Verify that the application has implemented defenses against loss of availability due to functionality which is time-consuming or resource-demanding, based on the documented security decisions and strategies for this.</t>
  </si>
  <si>
    <t>implementation of rate limit</t>
  </si>
  <si>
    <t>CantinasApp\Backend\src\middlewares\rateLimit.ts</t>
  </si>
  <si>
    <t>V15.2.3</t>
  </si>
  <si>
    <t>Verify that the production environment only includes functionality that is required for the application to function, and does not expose extraneous functionality such as test code, sample snippets, and development functionality.</t>
  </si>
  <si>
    <t>In the docker file it excludes everything except what is necessary</t>
  </si>
  <si>
    <t>CantinasApp\Backend\Dockerfile</t>
  </si>
  <si>
    <t>V15.2.4</t>
  </si>
  <si>
    <t>Verify that third-party components and all of their transitive dependencies are included from the expected repository, whether internally owned or an external source, and that there is no risk of a dependency confusion attack.</t>
  </si>
  <si>
    <t>we don't have conflits</t>
  </si>
  <si>
    <t>V15.2.5</t>
  </si>
  <si>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</si>
  <si>
    <t>V15.3</t>
  </si>
  <si>
    <t>Defensive Coding</t>
  </si>
  <si>
    <t>V15.3.1</t>
  </si>
  <si>
    <t>Verify that the application only returns the required subset of fields from a data object. For example, it should not return an entire data object, as some individual fields should not be accessible to users.</t>
  </si>
  <si>
    <t>V15.3.2</t>
  </si>
  <si>
    <t>Verify that where the application backend makes calls to external URLs, it is configured to not follow redirects unless it is intended functionality.</t>
  </si>
  <si>
    <t>By default, HTTP clients like axios or fetch automatically follow HTTP 301/302 redirects.</t>
  </si>
  <si>
    <t>V15.3.3</t>
  </si>
  <si>
    <t>Verify that the application has countermeasures to protect against mass assignment attacks by limiting allowed fields per controller and action, e.g., it is not possible to insert or update a field value when it was not intended to be part of that action.</t>
  </si>
  <si>
    <t>V15.3.4</t>
  </si>
  <si>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</si>
  <si>
    <t>app.set('trust proxy', 1);</t>
  </si>
  <si>
    <t>V15.3.5</t>
  </si>
  <si>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</si>
  <si>
    <t>we always use === instead of ==</t>
  </si>
  <si>
    <t>V15.3.6</t>
  </si>
  <si>
    <t>Verify that JavaScript code is written in a way that prevents prototype pollution, for example, by using Set() or Map() instead of object literals.</t>
  </si>
  <si>
    <t>V15.3.7</t>
  </si>
  <si>
    <t>Verify that the application has defenses against HTTP parameter pollution attacks, particularly if the application framework makes no distinction about the source of request parameters (query string, body parameters, cookies, or header fields).</t>
  </si>
  <si>
    <r>
      <rPr>
        <sz val="11"/>
        <color rgb="FF79C0FF"/>
        <rFont val="Consolas"/>
      </rPr>
      <t>app</t>
    </r>
    <r>
      <rPr>
        <sz val="11"/>
        <color rgb="FFBBBEBF"/>
        <rFont val="Consolas"/>
      </rPr>
      <t>.</t>
    </r>
    <r>
      <rPr>
        <sz val="11"/>
        <color rgb="FFD2A8FF"/>
        <rFont val="Consolas"/>
      </rPr>
      <t>use</t>
    </r>
    <r>
      <rPr>
        <sz val="11"/>
        <color rgb="FFBBBEBF"/>
        <rFont val="Consolas"/>
      </rPr>
      <t>(</t>
    </r>
    <r>
      <rPr>
        <sz val="11"/>
        <color rgb="FFD2A8FF"/>
        <rFont val="Consolas"/>
      </rPr>
      <t>hpp</t>
    </r>
    <r>
      <rPr>
        <sz val="11"/>
        <color rgb="FFBBBEBF"/>
        <rFont val="Consolas"/>
      </rPr>
      <t>()); Parameter Pollution (HPP) protection</t>
    </r>
  </si>
  <si>
    <t>CantinasApp\Backend\index.ts</t>
  </si>
  <si>
    <t>V15.4</t>
  </si>
  <si>
    <t>Safe Concurrency</t>
  </si>
  <si>
    <t>V15.4.1</t>
  </si>
  <si>
    <t>Verify that shared objects in multi-threaded code (such as caches, files, or in-memory objects accessed by multiple threads) are accessed safely by using thread-safe types and synchronization mechanisms like locks or semaphores to avoid race conditions and data corruption.</t>
  </si>
  <si>
    <t>V15.4.2</t>
  </si>
  <si>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</si>
  <si>
    <t>V15.4.3</t>
  </si>
  <si>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</si>
  <si>
    <t>V15.4.4</t>
  </si>
  <si>
    <t>Verify that resource allocation policies prevent thread starvation by ensuring fair access to resources, such as by leveraging thread pools, allowing lower-priority threads to proceed within a reasonable timeframe.</t>
  </si>
  <si>
    <t>V16.1</t>
  </si>
  <si>
    <t>Security Logging Documentation</t>
  </si>
  <si>
    <t>V16.1.1</t>
  </si>
  <si>
    <t>Verify that an inventory exists documenting the logging performed at each layer of the application's technology stack, what events are being logged, log formats, where that logging is stored, how it is used, how access to it is controlled, and for how long logs are kept.</t>
  </si>
  <si>
    <t>CantinasApp\Backend\logging.md</t>
  </si>
  <si>
    <t>V16.2</t>
  </si>
  <si>
    <t>General Logging</t>
  </si>
  <si>
    <t>V16.2.1</t>
  </si>
  <si>
    <t>Verify that each log entry includes necessary metadata (such as when, where, who, what) that would allow for a detailed investigation of the timeline when an event happens.</t>
  </si>
  <si>
    <t>CantinasApp\Backend\src\utils\logger.ts</t>
  </si>
  <si>
    <t>V16.2.2</t>
  </si>
  <si>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</si>
  <si>
    <r>
      <t>winston.format.</t>
    </r>
    <r>
      <rPr>
        <sz val="11"/>
        <color rgb="FFD2A8FF"/>
        <rFont val="Consolas"/>
        <charset val="1"/>
      </rPr>
      <t>timestamp</t>
    </r>
    <r>
      <rPr>
        <sz val="11"/>
        <color rgb="FFC9D1D9"/>
        <rFont val="Consolas"/>
        <charset val="1"/>
      </rPr>
      <t xml:space="preserve">({ </t>
    </r>
    <r>
      <rPr>
        <sz val="11"/>
        <color rgb="FFD2A8FF"/>
        <rFont val="Consolas"/>
        <charset val="1"/>
      </rPr>
      <t>format</t>
    </r>
    <r>
      <rPr>
        <sz val="11"/>
        <color rgb="FF9CDCFE"/>
        <rFont val="Consolas"/>
        <charset val="1"/>
      </rPr>
      <t>:</t>
    </r>
    <r>
      <rPr>
        <sz val="11"/>
        <color rgb="FFC9D1D9"/>
        <rFont val="Consolas"/>
        <charset val="1"/>
      </rPr>
      <t xml:space="preserve"> () </t>
    </r>
    <r>
      <rPr>
        <sz val="11"/>
        <color rgb="FFFF7B72"/>
        <rFont val="Consolas"/>
        <charset val="1"/>
      </rPr>
      <t>=&gt;</t>
    </r>
    <r>
      <rPr>
        <sz val="11"/>
        <color rgb="FFC9D1D9"/>
        <rFont val="Consolas"/>
        <charset val="1"/>
      </rPr>
      <t xml:space="preserve"> </t>
    </r>
    <r>
      <rPr>
        <sz val="11"/>
        <color rgb="FF569CD6"/>
        <rFont val="Consolas"/>
        <charset val="1"/>
      </rPr>
      <t>new</t>
    </r>
    <r>
      <rPr>
        <sz val="11"/>
        <color rgb="FFC9D1D9"/>
        <rFont val="Consolas"/>
        <charset val="1"/>
      </rPr>
      <t xml:space="preserve"> </t>
    </r>
    <r>
      <rPr>
        <sz val="11"/>
        <color rgb="FF4EC9B0"/>
        <rFont val="Consolas"/>
        <charset val="1"/>
      </rPr>
      <t>Date</t>
    </r>
    <r>
      <rPr>
        <sz val="11"/>
        <color rgb="FFC9D1D9"/>
        <rFont val="Consolas"/>
        <charset val="1"/>
      </rPr>
      <t>().</t>
    </r>
    <r>
      <rPr>
        <sz val="11"/>
        <color rgb="FFD2A8FF"/>
        <rFont val="Consolas"/>
        <charset val="1"/>
      </rPr>
      <t>toUTCString</t>
    </r>
    <r>
      <rPr>
        <sz val="11"/>
        <color rgb="FFC9D1D9"/>
        <rFont val="Consolas"/>
        <charset val="1"/>
      </rPr>
      <t>() }),</t>
    </r>
  </si>
  <si>
    <t>V16.2.3</t>
  </si>
  <si>
    <t>Verify that the application only stores or broadcasts logs to the files and services that are documented in the log inventory.</t>
  </si>
  <si>
    <t>V16.2.4</t>
  </si>
  <si>
    <t>Verify that logs can be read and correlated by the log processor that is in use, preferably by using a common logging format.</t>
  </si>
  <si>
    <t>Files are written as structured JSON</t>
  </si>
  <si>
    <t>V16.2.5</t>
  </si>
  <si>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</si>
  <si>
    <t>CantinasApp\Backend\src\utils\maskSensitive.ts</t>
  </si>
  <si>
    <t>V16.3</t>
  </si>
  <si>
    <t>Security Events</t>
  </si>
  <si>
    <t>V16.3.1</t>
  </si>
  <si>
    <t>Verify that all authentication operations are logged, including successful and unsuccessful attempts. Additional metadata, such as the type of authentication or factors used, should also be collected.</t>
  </si>
  <si>
    <t>V16.3.2</t>
  </si>
  <si>
    <t>Verify that failed authorization attempts are logged. For L3, this must include logging all authorization decisions, including logging when sensitive data is accessed (without logging the sensitive data itself).</t>
  </si>
  <si>
    <t>V16.3.3</t>
  </si>
  <si>
    <t>Verify that the application logs the security events that are defined in the documentation and also logs attempts to bypass the security controls, such as input validation, business logic, and anti-automation.</t>
  </si>
  <si>
    <t>V16.3.4</t>
  </si>
  <si>
    <t>Verify that the application logs unexpected errors and security control failures such as backend TLS failures.</t>
  </si>
  <si>
    <t>V16.4</t>
  </si>
  <si>
    <t>Log Protection</t>
  </si>
  <si>
    <t>V16.4.1</t>
  </si>
  <si>
    <t>Verify that all logging components appropriately encode data to prevent log injection.</t>
  </si>
  <si>
    <t>CantinasApp\Backend\src\utils\sanitizeLogs.ts</t>
  </si>
  <si>
    <t>V16.4.2</t>
  </si>
  <si>
    <t>Verify that logs are protected from unauthorized access and cannot be modified.</t>
  </si>
  <si>
    <t>used winston</t>
  </si>
  <si>
    <t>V16.4.3</t>
  </si>
  <si>
    <t>Verify that logs are securely transmitted to a logically separate system for analysis, detection, alerting, and escalation. The aim is to ensure that if the application is breached, the logs are not compromised.</t>
  </si>
  <si>
    <t>V16.5</t>
  </si>
  <si>
    <t>Error Handling</t>
  </si>
  <si>
    <t>V16.5.1</t>
  </si>
  <si>
    <t>Verify that a generic message is returned to the consumer when an unexpected or security-sensitive error occurs, ensuring no exposure of sensitive internal system data such as stack traces, queries, secret keys, and tokens.</t>
  </si>
  <si>
    <t>V16.5.2</t>
  </si>
  <si>
    <t>Verify that the application continues to operate securely when external resource access fails, for example, by using patterns such as circuit breakers or graceful degradation.</t>
  </si>
  <si>
    <t>V16.5.3</t>
  </si>
  <si>
    <t>Verify that the application fails gracefully and securely, including when an exception occurs, preventing fail-open conditions such as processing a transaction despite errors resulting from validation logic.</t>
  </si>
  <si>
    <t>V16.5.4</t>
  </si>
  <si>
    <t>Verify that a "last resort" error handler is defined which will catch all unhandled exceptions. This is both to avoid losing error details that must go to log files and to ensure that an error does not take down the entire application process, leading to a loss of availability.</t>
  </si>
  <si>
    <t>V17.1</t>
  </si>
  <si>
    <t>TURN Server</t>
  </si>
  <si>
    <t>V17.1.1</t>
  </si>
  <si>
    <t>Verify that the Traversal Using Relays around NAT (TURN) service only allows access to IP addresses that are not reserved for special purposes (e.g., internal networks, broadcast, loopback). Note that this applies to both IPv4 and IPv6 addresses.</t>
  </si>
  <si>
    <t>No WebRTC functionality in the CantinasApp backend. TURN server, media server, and signaling server are not in scope.</t>
  </si>
  <si>
    <t>V17.1.2</t>
  </si>
  <si>
    <t>Verify that the Traversal Using Relays around NAT (TURN) service is not susceptible to resource exhaustion when legitimate users attempt to open a large number of ports on the TURN server.</t>
  </si>
  <si>
    <t>V17.2</t>
  </si>
  <si>
    <t>Media</t>
  </si>
  <si>
    <t>V17.2.1</t>
  </si>
  <si>
    <t>Verify that the key for the Datagram Transport Layer Security (DTLS) certificate is managed and protected based on the documented policy for management of cryptographic keys.</t>
  </si>
  <si>
    <t>V17.2.2</t>
  </si>
  <si>
    <t>Verify that the media server is configured to use and support approved Datagram Transport Layer Security (DTLS) cipher suites and a secure protection profile for the DTLS Extension for establishing keys for the Secure Real-time Transport Protocol (DTLS-SRTP).</t>
  </si>
  <si>
    <t>V17.2.3</t>
  </si>
  <si>
    <t>Verify that Secure Real-time Transport Protocol (SRTP) authentication is checked at the media server to prevent Real-time Transport Protocol (RTP) injection attacks from leading to either a Denial of Service condition or audio or video media insertion into media streams.</t>
  </si>
  <si>
    <t>V17.2.4</t>
  </si>
  <si>
    <t>Verify that the media server is able to continue processing incoming media traffic when encountering malformed Secure Real-time Transport Protocol (SRTP) packets.</t>
  </si>
  <si>
    <t>V17.2.5</t>
  </si>
  <si>
    <t>Verify that the media server is able to continue processing incoming media traffic during a flood of Secure Real-time Transport Protocol (SRTP) packets from legitimate users.</t>
  </si>
  <si>
    <t>V17.2.6</t>
  </si>
  <si>
    <t>Verify that the media server is not susceptible to the "ClientHello" Race Condition vulnerability in Datagram Transport Layer Security (DTLS) by checking if the media server is publicly known to be vulnerable or by performing the race condition test.</t>
  </si>
  <si>
    <t>V17.2.7</t>
  </si>
  <si>
    <t>Verify that any audio or video recording mechanisms associated with the media server are able to continue processing incoming media traffic during a flood of Secure Real-time Transport Protocol (SRTP) packets from legitimate users.</t>
  </si>
  <si>
    <t>V17.2.8</t>
  </si>
  <si>
    <t>Verify that the Datagram Transport Layer Security (DTLS) certificate is checked against the Session Description Protocol (SDP) fingerprint attribute, terminating the media stream if the check fails, to ensure the authenticity of the media stream.</t>
  </si>
  <si>
    <t>V17.3</t>
  </si>
  <si>
    <t>Signaling</t>
  </si>
  <si>
    <t>V17.3.1</t>
  </si>
  <si>
    <t>Verify that the signaling server is able to continue processing legitimate incoming signaling messages during a flood attack. This should be achieved by implementing rate limiting at the signaling level.</t>
  </si>
  <si>
    <t>V17.3.2</t>
  </si>
  <si>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</sst>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rgb="FF000000"/>
      <name val="Calibri"/>
      <family val="2"/>
      <charset val="1"/>
    </font>
    <font>
      <b/>
      <sz val="16"/>
      <color rgb="FFFFFFFF"/>
      <name val="Cambria"/>
      <charset val="1"/>
    </font>
    <font>
      <i/>
      <sz val="10"/>
      <color rgb="FF595959"/>
      <name val="Cambria"/>
      <charset val="1"/>
    </font>
    <font>
      <b/>
      <sz val="10"/>
      <name val="Cambria"/>
      <charset val="1"/>
    </font>
    <font>
      <b/>
      <sz val="9"/>
      <name val="Cambria"/>
      <charset val="1"/>
    </font>
    <font>
      <b/>
      <sz val="9"/>
      <color rgb="FFFFFFFF"/>
      <name val="Cambria"/>
      <charset val="1"/>
    </font>
    <font>
      <sz val="10"/>
      <name val="Cambria"/>
      <charset val="1"/>
    </font>
    <font>
      <b/>
      <sz val="11"/>
      <color rgb="FFFFFFFF"/>
      <name val="Cambria"/>
      <charset val="1"/>
    </font>
    <font>
      <b/>
      <sz val="10"/>
      <color rgb="FFFFFFFF"/>
      <name val="Cambria"/>
      <charset val="1"/>
    </font>
    <font>
      <b/>
      <sz val="10"/>
      <color rgb="FF1F3864"/>
      <name val="Cambria"/>
      <charset val="1"/>
    </font>
    <font>
      <sz val="11"/>
      <color rgb="FFD2A8FF"/>
      <name val="Consolas"/>
      <charset val="1"/>
    </font>
    <font>
      <sz val="11"/>
      <color rgb="FFC9D1D9"/>
      <name val="Consolas"/>
      <charset val="1"/>
    </font>
    <font>
      <sz val="11"/>
      <color rgb="FF9CDCFE"/>
      <name val="Consolas"/>
      <charset val="1"/>
    </font>
    <font>
      <sz val="11"/>
      <color rgb="FFFF7B72"/>
      <name val="Consolas"/>
      <charset val="1"/>
    </font>
    <font>
      <sz val="11"/>
      <color rgb="FF569CD6"/>
      <name val="Consolas"/>
      <charset val="1"/>
    </font>
    <font>
      <sz val="11"/>
      <color rgb="FF4EC9B0"/>
      <name val="Consolas"/>
      <charset val="1"/>
    </font>
    <font>
      <sz val="11"/>
      <color rgb="FFC9D1D9"/>
      <name val="Consolas"/>
    </font>
    <font>
      <sz val="11"/>
      <color rgb="FF000000"/>
      <name val="Aptos Narrow"/>
      <scheme val="minor"/>
    </font>
    <font>
      <sz val="11"/>
      <color rgb="FF79C0FF"/>
      <name val="Consolas"/>
      <charset val="1"/>
    </font>
    <font>
      <sz val="11"/>
      <color rgb="FFD4D4D4"/>
      <name val="Consolas"/>
      <charset val="1"/>
    </font>
    <font>
      <sz val="11"/>
      <color rgb="FFFFA657"/>
      <name val="Consolas"/>
      <charset val="1"/>
    </font>
    <font>
      <sz val="11"/>
      <color rgb="FFA5D6FF"/>
      <name val="Consolas"/>
      <charset val="1"/>
    </font>
    <font>
      <sz val="11"/>
      <color rgb="FF79C0FF"/>
      <name val="Consolas"/>
    </font>
    <font>
      <sz val="11"/>
      <color rgb="FFBBBEBF"/>
      <name val="Consolas"/>
    </font>
    <font>
      <sz val="11"/>
      <color rgb="FFD2A8FF"/>
      <name val="Consolas"/>
    </font>
  </fonts>
  <fills count="10">
    <fill>
      <patternFill patternType="none"/>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51">
    <xf numFmtId="0" fontId="0" fillId="0" borderId="0" xfId="0"/>
    <xf numFmtId="0" fontId="4" fillId="0" borderId="0" xfId="0" applyFont="1" applyAlignment="1">
      <alignment horizontal="center" vertical="center"/>
    </xf>
    <xf numFmtId="0" fontId="5" fillId="2" borderId="1" xfId="0" applyFont="1" applyFill="1" applyBorder="1" applyAlignment="1">
      <alignment horizontal="center" vertical="center" wrapText="1"/>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9" fontId="6" fillId="3" borderId="1" xfId="0" applyNumberFormat="1" applyFont="1" applyFill="1" applyBorder="1" applyAlignment="1">
      <alignment horizontal="center" vertical="center"/>
    </xf>
    <xf numFmtId="0" fontId="6" fillId="4" borderId="1" xfId="0" applyFont="1" applyFill="1" applyBorder="1" applyAlignment="1">
      <alignment horizontal="left" vertical="center"/>
    </xf>
    <xf numFmtId="0" fontId="6" fillId="4" borderId="1" xfId="0" applyFont="1" applyFill="1" applyBorder="1" applyAlignment="1">
      <alignment horizontal="center" vertical="center"/>
    </xf>
    <xf numFmtId="9" fontId="6" fillId="4" borderId="1" xfId="0" applyNumberFormat="1" applyFont="1" applyFill="1" applyBorder="1" applyAlignment="1">
      <alignment horizontal="center" vertical="center"/>
    </xf>
    <xf numFmtId="0" fontId="7" fillId="2" borderId="1" xfId="0" applyFont="1" applyFill="1" applyBorder="1"/>
    <xf numFmtId="0" fontId="8" fillId="2" borderId="1" xfId="0" applyFont="1" applyFill="1" applyBorder="1" applyAlignment="1">
      <alignment horizontal="center" vertical="center"/>
    </xf>
    <xf numFmtId="9"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wrapText="1"/>
    </xf>
    <xf numFmtId="0" fontId="9" fillId="5" borderId="1" xfId="0" applyFont="1" applyFill="1" applyBorder="1" applyAlignment="1">
      <alignment horizontal="left" vertical="center"/>
    </xf>
    <xf numFmtId="0" fontId="0" fillId="3" borderId="1" xfId="0" applyFill="1" applyBorder="1"/>
    <xf numFmtId="0" fontId="0" fillId="3" borderId="1" xfId="0" applyFill="1" applyBorder="1" applyAlignment="1">
      <alignment horizontal="center" vertical="top"/>
    </xf>
    <xf numFmtId="0" fontId="0" fillId="3" borderId="1" xfId="0" applyFill="1" applyBorder="1" applyAlignment="1">
      <alignment horizontal="left" vertical="top" wrapText="1"/>
    </xf>
    <xf numFmtId="0" fontId="3" fillId="6" borderId="1" xfId="0" applyFont="1" applyFill="1" applyBorder="1" applyAlignment="1">
      <alignment horizontal="center" vertical="top"/>
    </xf>
    <xf numFmtId="0" fontId="0" fillId="7" borderId="1" xfId="0" applyFill="1" applyBorder="1" applyAlignment="1">
      <alignment horizontal="center" vertical="top"/>
    </xf>
    <xf numFmtId="0" fontId="0" fillId="4" borderId="1" xfId="0" applyFill="1" applyBorder="1"/>
    <xf numFmtId="0" fontId="0" fillId="4" borderId="1" xfId="0" applyFill="1" applyBorder="1" applyAlignment="1">
      <alignment horizontal="center" vertical="top"/>
    </xf>
    <xf numFmtId="0" fontId="0" fillId="4" borderId="1" xfId="0" applyFill="1" applyBorder="1" applyAlignment="1">
      <alignment horizontal="left" vertical="top" wrapText="1"/>
    </xf>
    <xf numFmtId="0" fontId="3" fillId="8" borderId="1" xfId="0" applyFont="1" applyFill="1" applyBorder="1" applyAlignment="1">
      <alignment horizontal="center" vertical="top"/>
    </xf>
    <xf numFmtId="0" fontId="3" fillId="9" borderId="1" xfId="0" applyFont="1" applyFill="1" applyBorder="1" applyAlignment="1">
      <alignment horizontal="center" vertical="top"/>
    </xf>
    <xf numFmtId="0" fontId="9" fillId="5" borderId="1" xfId="0" applyFont="1" applyFill="1" applyBorder="1" applyAlignment="1">
      <alignment horizontal="left" vertical="center" wrapText="1"/>
    </xf>
    <xf numFmtId="0" fontId="16" fillId="0" borderId="0" xfId="0" applyFont="1" applyAlignment="1">
      <alignment wrapText="1"/>
    </xf>
    <xf numFmtId="0" fontId="15" fillId="0" borderId="0" xfId="0" applyFont="1"/>
    <xf numFmtId="0" fontId="17" fillId="0" borderId="0" xfId="0" applyFont="1" applyAlignment="1">
      <alignment horizontal="left" vertical="top"/>
    </xf>
    <xf numFmtId="0" fontId="13" fillId="0" borderId="0" xfId="0" applyFont="1" applyAlignment="1">
      <alignment wrapText="1"/>
    </xf>
    <xf numFmtId="0" fontId="20" fillId="0" borderId="0" xfId="0" applyFont="1" applyAlignment="1">
      <alignment wrapText="1"/>
    </xf>
    <xf numFmtId="0" fontId="20" fillId="0" borderId="0" xfId="0" applyFont="1" applyAlignment="1">
      <alignment vertical="top" wrapText="1"/>
    </xf>
    <xf numFmtId="0" fontId="22" fillId="0" borderId="0" xfId="0" applyFont="1" applyAlignment="1">
      <alignment vertical="top" wrapText="1"/>
    </xf>
    <xf numFmtId="0" fontId="9" fillId="5" borderId="2" xfId="0" applyFont="1" applyFill="1" applyBorder="1" applyAlignment="1">
      <alignment horizontal="left" vertical="center"/>
    </xf>
    <xf numFmtId="0" fontId="0" fillId="3" borderId="2" xfId="0" applyFill="1" applyBorder="1"/>
    <xf numFmtId="0" fontId="0" fillId="4" borderId="2" xfId="0" applyFill="1" applyBorder="1"/>
    <xf numFmtId="0" fontId="9" fillId="5" borderId="3" xfId="0" applyFont="1" applyFill="1" applyBorder="1" applyAlignment="1">
      <alignment horizontal="left" vertical="center"/>
    </xf>
    <xf numFmtId="0" fontId="0" fillId="3" borderId="3" xfId="0" applyFill="1" applyBorder="1" applyAlignment="1">
      <alignment horizontal="left" vertical="top" wrapText="1"/>
    </xf>
    <xf numFmtId="0" fontId="0" fillId="4" borderId="3" xfId="0" applyFill="1" applyBorder="1" applyAlignment="1">
      <alignment horizontal="left" vertical="top" wrapText="1"/>
    </xf>
    <xf numFmtId="0" fontId="8" fillId="2" borderId="4"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0" fillId="3" borderId="7" xfId="0" applyFill="1" applyBorder="1"/>
    <xf numFmtId="0" fontId="0" fillId="3" borderId="8" xfId="0" applyFill="1" applyBorder="1"/>
    <xf numFmtId="0" fontId="0" fillId="3" borderId="8" xfId="0" applyFill="1" applyBorder="1" applyAlignment="1">
      <alignment horizontal="center" vertical="top"/>
    </xf>
    <xf numFmtId="0" fontId="0" fillId="3" borderId="8" xfId="0" applyFill="1" applyBorder="1" applyAlignment="1">
      <alignment horizontal="left" vertical="top" wrapText="1"/>
    </xf>
    <xf numFmtId="0" fontId="3" fillId="9" borderId="8" xfId="0" applyFont="1" applyFill="1" applyBorder="1" applyAlignment="1">
      <alignment horizontal="center" vertical="top"/>
    </xf>
    <xf numFmtId="0" fontId="0" fillId="7" borderId="8" xfId="0" applyFill="1" applyBorder="1" applyAlignment="1">
      <alignment horizontal="center" vertical="top"/>
    </xf>
    <xf numFmtId="0" fontId="0" fillId="3" borderId="9" xfId="0" applyFill="1" applyBorder="1" applyAlignment="1">
      <alignment horizontal="left" vertical="top" wrapText="1"/>
    </xf>
    <xf numFmtId="0" fontId="1" fillId="2" borderId="0" xfId="0" applyFont="1" applyFill="1" applyAlignment="1">
      <alignment horizontal="center" vertical="center"/>
    </xf>
    <xf numFmtId="0" fontId="2" fillId="0" borderId="0" xfId="0" applyFont="1" applyAlignment="1">
      <alignment horizontal="center" vertical="center"/>
    </xf>
    <xf numFmtId="0" fontId="3" fillId="0" borderId="0" xfId="0" applyFont="1" applyAlignment="1"/>
  </cellXfs>
  <cellStyles count="1">
    <cellStyle name="Normal" xfId="0" builtinId="0"/>
  </cellStyles>
  <dxfs count="12">
    <dxf>
      <fill>
        <patternFill patternType="solid">
          <fgColor rgb="FFF7FBFF"/>
          <bgColor rgb="FFFFFFFF"/>
        </patternFill>
      </fill>
      <alignment horizontal="left" vertical="top" textRotation="0" wrapText="1" indent="0" justifyLastLine="0" shrinkToFit="0" readingOrder="0"/>
      <border diagonalUp="0" diagonalDown="0">
        <left style="thin">
          <color rgb="FFBFBFBF"/>
        </left>
        <right/>
        <top style="thin">
          <color rgb="FFBFBFBF"/>
        </top>
        <bottom style="thin">
          <color rgb="FFBFBFBF"/>
        </bottom>
        <vertical/>
        <horizontal/>
      </border>
    </dxf>
    <dxf>
      <fill>
        <patternFill patternType="solid">
          <fgColor rgb="FFF7FBFF"/>
          <bgColor rgb="FFFFFFFF"/>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ill>
        <patternFill patternType="solid">
          <fgColor rgb="FFF7FBFF"/>
          <bgColor rgb="FFF2F2F2"/>
        </patternFill>
      </fill>
      <alignment horizontal="center"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i val="0"/>
        <strike val="0"/>
        <condense val="0"/>
        <extend val="0"/>
        <outline val="0"/>
        <shadow val="0"/>
        <u val="none"/>
        <vertAlign val="baseline"/>
        <sz val="10"/>
        <color auto="1"/>
        <name val="Cambria"/>
        <charset val="1"/>
        <scheme val="none"/>
      </font>
      <fill>
        <patternFill patternType="solid">
          <fgColor rgb="FFFFEB9C"/>
          <bgColor rgb="FFFABF8F"/>
        </patternFill>
      </fill>
      <alignment horizontal="center"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ill>
        <patternFill patternType="solid">
          <fgColor rgb="FFF7FBFF"/>
          <bgColor rgb="FFFFFFFF"/>
        </patternFill>
      </fill>
      <alignment horizontal="left" vertical="top"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ill>
        <patternFill patternType="solid">
          <fgColor rgb="FFF7FBFF"/>
          <bgColor rgb="FFFFFFFF"/>
        </patternFill>
      </fill>
      <alignment horizontal="center" vertical="top"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ill>
        <patternFill patternType="solid">
          <fgColor rgb="FFF7FBFF"/>
          <bgColor rgb="FFFFFFFF"/>
        </patternFill>
      </fill>
      <border diagonalUp="0" diagonalDown="0">
        <left style="thin">
          <color rgb="FFBFBFBF"/>
        </left>
        <right style="thin">
          <color rgb="FFBFBFBF"/>
        </right>
        <top style="thin">
          <color rgb="FFBFBFBF"/>
        </top>
        <bottom style="thin">
          <color rgb="FFBFBFBF"/>
        </bottom>
        <vertical/>
        <horizontal/>
      </border>
    </dxf>
    <dxf>
      <fill>
        <patternFill patternType="solid">
          <fgColor rgb="FFF7FBFF"/>
          <bgColor rgb="FFFFFFFF"/>
        </patternFill>
      </fill>
      <border diagonalUp="0" diagonalDown="0">
        <left/>
        <right style="thin">
          <color rgb="FFBFBFBF"/>
        </right>
        <top style="thin">
          <color rgb="FFBFBFBF"/>
        </top>
        <bottom style="thin">
          <color rgb="FFBFBFBF"/>
        </bottom>
        <vertical/>
        <horizontal/>
      </border>
    </dxf>
    <dxf>
      <border outline="0">
        <top style="thin">
          <color rgb="FFBFBFBF"/>
        </top>
      </border>
    </dxf>
    <dxf>
      <border outline="0">
        <bottom style="thin">
          <color rgb="FFBFBFBF"/>
        </bottom>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0"/>
        <color rgb="FFFFFFFF"/>
        <name val="Cambria"/>
        <charset val="1"/>
        <scheme val="none"/>
      </font>
      <fill>
        <patternFill patternType="solid">
          <fgColor rgb="FF333333"/>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autoTitleDeleted val="1"/>
    <c:plotArea>
      <c:layout/>
      <c:barChart>
        <c:barDir val="bar"/>
        <c:grouping val="clustered"/>
        <c:varyColors val="0"/>
        <c:ser>
          <c:idx val="0"/>
          <c:order val="0"/>
          <c:tx>
            <c:strRef>
              <c:f>Summary!$E$5</c:f>
              <c:strCache>
                <c:ptCount val="1"/>
                <c:pt idx="0">
                  <c:v>L1
%</c:v>
                </c:pt>
              </c:strCache>
            </c:strRef>
          </c:tx>
          <c:spPr>
            <a:solidFill>
              <a:srgbClr val="C6EFCE"/>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Summary!$E$6:$E$22</c:f>
              <c:numCache>
                <c:formatCode>0%</c:formatCode>
                <c:ptCount val="17"/>
                <c:pt idx="0">
                  <c:v>0.5</c:v>
                </c:pt>
                <c:pt idx="1">
                  <c:v>1</c:v>
                </c:pt>
                <c:pt idx="2">
                  <c:v>0.75</c:v>
                </c:pt>
                <c:pt idx="3">
                  <c:v>0.5</c:v>
                </c:pt>
                <c:pt idx="4">
                  <c:v>0.75</c:v>
                </c:pt>
                <c:pt idx="5">
                  <c:v>0.76923076923076927</c:v>
                </c:pt>
                <c:pt idx="6">
                  <c:v>1</c:v>
                </c:pt>
                <c:pt idx="7">
                  <c:v>1</c:v>
                </c:pt>
                <c:pt idx="8">
                  <c:v>1</c:v>
                </c:pt>
                <c:pt idx="9">
                  <c:v>0</c:v>
                </c:pt>
                <c:pt idx="10">
                  <c:v>0.33333333333333331</c:v>
                </c:pt>
                <c:pt idx="11">
                  <c:v>0.66666666666666663</c:v>
                </c:pt>
                <c:pt idx="12">
                  <c:v>0</c:v>
                </c:pt>
                <c:pt idx="13">
                  <c:v>1</c:v>
                </c:pt>
                <c:pt idx="14">
                  <c:v>0.66666666666666663</c:v>
                </c:pt>
                <c:pt idx="15" formatCode="General">
                  <c:v>0</c:v>
                </c:pt>
                <c:pt idx="16" formatCode="General">
                  <c:v>0</c:v>
                </c:pt>
              </c:numCache>
            </c:numRef>
          </c:val>
          <c:extLst>
            <c:ext xmlns:c16="http://schemas.microsoft.com/office/drawing/2014/chart" uri="{C3380CC4-5D6E-409C-BE32-E72D297353CC}">
              <c16:uniqueId val="{00000000-7A23-4843-9C05-827F020BEADE}"/>
            </c:ext>
          </c:extLst>
        </c:ser>
        <c:ser>
          <c:idx val="1"/>
          <c:order val="1"/>
          <c:tx>
            <c:strRef>
              <c:f>Summary!$H$5</c:f>
              <c:strCache>
                <c:ptCount val="1"/>
                <c:pt idx="0">
                  <c:v>L2
%</c:v>
                </c:pt>
              </c:strCache>
            </c:strRef>
          </c:tx>
          <c:spPr>
            <a:solidFill>
              <a:srgbClr val="FFEB9C"/>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Summary!$H$6:$H$22</c:f>
              <c:numCache>
                <c:formatCode>0%</c:formatCode>
                <c:ptCount val="17"/>
                <c:pt idx="0">
                  <c:v>5.2631578947368418E-2</c:v>
                </c:pt>
                <c:pt idx="1">
                  <c:v>0.5714285714285714</c:v>
                </c:pt>
                <c:pt idx="2">
                  <c:v>0.36363636363636365</c:v>
                </c:pt>
                <c:pt idx="3">
                  <c:v>0.25</c:v>
                </c:pt>
                <c:pt idx="4">
                  <c:v>0.4</c:v>
                </c:pt>
                <c:pt idx="5">
                  <c:v>0.31818181818181818</c:v>
                </c:pt>
                <c:pt idx="6">
                  <c:v>0.66666666666666663</c:v>
                </c:pt>
                <c:pt idx="7">
                  <c:v>0.66666666666666663</c:v>
                </c:pt>
                <c:pt idx="8">
                  <c:v>1</c:v>
                </c:pt>
                <c:pt idx="9">
                  <c:v>0</c:v>
                </c:pt>
                <c:pt idx="10">
                  <c:v>0.54545454545454541</c:v>
                </c:pt>
                <c:pt idx="11">
                  <c:v>0.16666666666666666</c:v>
                </c:pt>
                <c:pt idx="12">
                  <c:v>0</c:v>
                </c:pt>
                <c:pt idx="13">
                  <c:v>0.7142857142857143</c:v>
                </c:pt>
                <c:pt idx="14">
                  <c:v>0.7</c:v>
                </c:pt>
                <c:pt idx="15">
                  <c:v>0.5</c:v>
                </c:pt>
                <c:pt idx="16">
                  <c:v>0</c:v>
                </c:pt>
              </c:numCache>
            </c:numRef>
          </c:val>
          <c:extLst>
            <c:ext xmlns:c16="http://schemas.microsoft.com/office/drawing/2014/chart" uri="{C3380CC4-5D6E-409C-BE32-E72D297353CC}">
              <c16:uniqueId val="{00000001-7A23-4843-9C05-827F020BEADE}"/>
            </c:ext>
          </c:extLst>
        </c:ser>
        <c:ser>
          <c:idx val="2"/>
          <c:order val="2"/>
          <c:tx>
            <c:strRef>
              <c:f>Summary!$K$5</c:f>
              <c:strCache>
                <c:ptCount val="1"/>
                <c:pt idx="0">
                  <c:v>L3
%</c:v>
                </c:pt>
              </c:strCache>
            </c:strRef>
          </c:tx>
          <c:spPr>
            <a:solidFill>
              <a:srgbClr val="FABF8F"/>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Summary!$K$6:$K$21</c:f>
              <c:numCache>
                <c:formatCode>0%</c:formatCode>
                <c:ptCount val="16"/>
                <c:pt idx="0">
                  <c:v>0</c:v>
                </c:pt>
                <c:pt idx="1">
                  <c:v>0</c:v>
                </c:pt>
                <c:pt idx="2">
                  <c:v>0</c:v>
                </c:pt>
                <c:pt idx="3">
                  <c:v>0.83333333333333337</c:v>
                </c:pt>
                <c:pt idx="4">
                  <c:v>0.5</c:v>
                </c:pt>
                <c:pt idx="5">
                  <c:v>0.41666666666666669</c:v>
                </c:pt>
                <c:pt idx="6">
                  <c:v>0</c:v>
                </c:pt>
                <c:pt idx="7">
                  <c:v>0.66666666666666663</c:v>
                </c:pt>
                <c:pt idx="8" formatCode="General">
                  <c:v>0</c:v>
                </c:pt>
                <c:pt idx="9">
                  <c:v>0</c:v>
                </c:pt>
                <c:pt idx="10">
                  <c:v>0.6</c:v>
                </c:pt>
                <c:pt idx="11">
                  <c:v>0</c:v>
                </c:pt>
                <c:pt idx="12">
                  <c:v>0</c:v>
                </c:pt>
                <c:pt idx="13">
                  <c:v>0.5</c:v>
                </c:pt>
                <c:pt idx="14">
                  <c:v>0.125</c:v>
                </c:pt>
                <c:pt idx="15">
                  <c:v>0</c:v>
                </c:pt>
              </c:numCache>
            </c:numRef>
          </c:val>
          <c:extLst>
            <c:ext xmlns:c16="http://schemas.microsoft.com/office/drawing/2014/chart" uri="{C3380CC4-5D6E-409C-BE32-E72D297353CC}">
              <c16:uniqueId val="{00000002-7A23-4843-9C05-827F020BEADE}"/>
            </c:ext>
          </c:extLst>
        </c:ser>
        <c:ser>
          <c:idx val="3"/>
          <c:order val="3"/>
          <c:tx>
            <c:strRef>
              <c:f>Summary!$M$5</c:f>
              <c:strCache>
                <c:ptCount val="1"/>
                <c:pt idx="0">
                  <c:v>Overall
%</c:v>
                </c:pt>
              </c:strCache>
            </c:strRef>
          </c:tx>
          <c:spPr>
            <a:solidFill>
              <a:srgbClr val="579D1C"/>
            </a:solidFill>
            <a:ln>
              <a:noFill/>
            </a:ln>
          </c:spPr>
          <c:invertIfNegative val="0"/>
          <c:dLbls>
            <c:spPr>
              <a:noFill/>
              <a:ln>
                <a:noFill/>
              </a:ln>
              <a:effectLst/>
            </c:spPr>
            <c:txPr>
              <a:bodyPr/>
              <a:lstStyle/>
              <a:p>
                <a:pPr>
                  <a:defRPr sz="1000" b="0" strike="noStrike" spc="-1">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Summary!$A$6:$A$22</c:f>
              <c:strCache>
                <c:ptCount val="17"/>
                <c:pt idx="0">
                  <c:v>V1 – Encoding and Sanitization</c:v>
                </c:pt>
                <c:pt idx="1">
                  <c:v>V2 – Validation and Business Logic</c:v>
                </c:pt>
                <c:pt idx="2">
                  <c:v>V3 – Web Frontend Security</c:v>
                </c:pt>
                <c:pt idx="3">
                  <c:v>V4 – API and Web Service</c:v>
                </c:pt>
                <c:pt idx="4">
                  <c:v>V5 – File Handling</c:v>
                </c:pt>
                <c:pt idx="5">
                  <c:v>V6 – Authentication</c:v>
                </c:pt>
                <c:pt idx="6">
                  <c:v>V7 – Session Management</c:v>
                </c:pt>
                <c:pt idx="7">
                  <c:v>V8 – Authorization</c:v>
                </c:pt>
                <c:pt idx="8">
                  <c:v>V9 – Self-contained Tokens</c:v>
                </c:pt>
                <c:pt idx="9">
                  <c:v>V10 – OAuth and OIDC</c:v>
                </c:pt>
                <c:pt idx="10">
                  <c:v>V11 – Cryptography</c:v>
                </c:pt>
                <c:pt idx="11">
                  <c:v>V12 – Secure Communication</c:v>
                </c:pt>
                <c:pt idx="12">
                  <c:v>V13 – Configuration</c:v>
                </c:pt>
                <c:pt idx="13">
                  <c:v>V14 – Data Protection</c:v>
                </c:pt>
                <c:pt idx="14">
                  <c:v>V15 – Secure Coding and Architecture</c:v>
                </c:pt>
                <c:pt idx="15">
                  <c:v>V16 – Security Logging and Error Handling</c:v>
                </c:pt>
                <c:pt idx="16">
                  <c:v>V17 – WebRTC</c:v>
                </c:pt>
              </c:strCache>
            </c:strRef>
          </c:cat>
          <c:val>
            <c:numRef>
              <c:f>Summary!$M$6:$M$22</c:f>
              <c:numCache>
                <c:formatCode>0%</c:formatCode>
                <c:ptCount val="17"/>
                <c:pt idx="0">
                  <c:v>0.16666666666666666</c:v>
                </c:pt>
                <c:pt idx="1">
                  <c:v>0.61538461538461542</c:v>
                </c:pt>
                <c:pt idx="2">
                  <c:v>0.32258064516129031</c:v>
                </c:pt>
                <c:pt idx="3">
                  <c:v>0.5</c:v>
                </c:pt>
                <c:pt idx="4">
                  <c:v>0.53846153846153844</c:v>
                </c:pt>
                <c:pt idx="5">
                  <c:v>0.46808510638297873</c:v>
                </c:pt>
                <c:pt idx="6">
                  <c:v>0.73684210526315785</c:v>
                </c:pt>
                <c:pt idx="7">
                  <c:v>0.76923076923076927</c:v>
                </c:pt>
                <c:pt idx="8">
                  <c:v>1</c:v>
                </c:pt>
                <c:pt idx="9">
                  <c:v>0</c:v>
                </c:pt>
                <c:pt idx="10">
                  <c:v>0.54166666666666663</c:v>
                </c:pt>
                <c:pt idx="11">
                  <c:v>0.25</c:v>
                </c:pt>
                <c:pt idx="12">
                  <c:v>0</c:v>
                </c:pt>
                <c:pt idx="13">
                  <c:v>0.69230769230769229</c:v>
                </c:pt>
                <c:pt idx="14">
                  <c:v>0.47619047619047616</c:v>
                </c:pt>
                <c:pt idx="15">
                  <c:v>0.47058823529411764</c:v>
                </c:pt>
                <c:pt idx="16">
                  <c:v>0</c:v>
                </c:pt>
              </c:numCache>
            </c:numRef>
          </c:val>
          <c:extLst>
            <c:ext xmlns:c16="http://schemas.microsoft.com/office/drawing/2014/chart" uri="{C3380CC4-5D6E-409C-BE32-E72D297353CC}">
              <c16:uniqueId val="{00000003-7A23-4843-9C05-827F020BEADE}"/>
            </c:ext>
          </c:extLst>
        </c:ser>
        <c:dLbls>
          <c:showLegendKey val="0"/>
          <c:showVal val="0"/>
          <c:showCatName val="0"/>
          <c:showSerName val="0"/>
          <c:showPercent val="0"/>
          <c:showBubbleSize val="0"/>
        </c:dLbls>
        <c:gapWidth val="100"/>
        <c:axId val="28005530"/>
        <c:axId val="73737639"/>
      </c:barChart>
      <c:catAx>
        <c:axId val="28005530"/>
        <c:scaling>
          <c:orientation val="minMax"/>
        </c:scaling>
        <c:delete val="0"/>
        <c:axPos val="l"/>
        <c:numFmt formatCode="General" sourceLinked="1"/>
        <c:majorTickMark val="out"/>
        <c:minorTickMark val="none"/>
        <c:tickLblPos val="nextTo"/>
        <c:spPr>
          <a:ln>
            <a:solidFill>
              <a:srgbClr val="B3B3B3"/>
            </a:solidFill>
          </a:ln>
        </c:spPr>
        <c:txPr>
          <a:bodyPr/>
          <a:lstStyle/>
          <a:p>
            <a:pPr>
              <a:defRPr sz="1000" b="0" strike="noStrike" spc="-1">
                <a:latin typeface="Arial"/>
              </a:defRPr>
            </a:pPr>
            <a:endParaRPr lang="en-US"/>
          </a:p>
        </c:txPr>
        <c:crossAx val="73737639"/>
        <c:crosses val="autoZero"/>
        <c:auto val="1"/>
        <c:lblAlgn val="ctr"/>
        <c:lblOffset val="100"/>
        <c:noMultiLvlLbl val="0"/>
      </c:catAx>
      <c:valAx>
        <c:axId val="73737639"/>
        <c:scaling>
          <c:orientation val="minMax"/>
        </c:scaling>
        <c:delete val="0"/>
        <c:axPos val="b"/>
        <c:majorGridlines>
          <c:spPr>
            <a:ln>
              <a:solidFill>
                <a:srgbClr val="B3B3B3"/>
              </a:solidFill>
            </a:ln>
          </c:spPr>
        </c:majorGridlines>
        <c:numFmt formatCode="0%" sourceLinked="0"/>
        <c:majorTickMark val="out"/>
        <c:minorTickMark val="none"/>
        <c:tickLblPos val="nextTo"/>
        <c:spPr>
          <a:ln>
            <a:solidFill>
              <a:srgbClr val="B3B3B3"/>
            </a:solidFill>
          </a:ln>
        </c:spPr>
        <c:txPr>
          <a:bodyPr/>
          <a:lstStyle/>
          <a:p>
            <a:pPr>
              <a:defRPr sz="1000" b="0" strike="noStrike" spc="-1">
                <a:latin typeface="Arial"/>
              </a:defRPr>
            </a:pPr>
            <a:endParaRPr lang="en-US"/>
          </a:p>
        </c:txPr>
        <c:crossAx val="28005530"/>
        <c:crosses val="autoZero"/>
        <c:crossBetween val="between"/>
      </c:valAx>
      <c:spPr>
        <a:noFill/>
        <a:ln>
          <a:solidFill>
            <a:srgbClr val="B3B3B3"/>
          </a:solidFill>
        </a:ln>
      </c:spPr>
    </c:plotArea>
    <c:legend>
      <c:legendPos val="r"/>
      <c:overlay val="0"/>
      <c:spPr>
        <a:noFill/>
        <a:ln>
          <a:noFill/>
        </a:ln>
      </c:spPr>
      <c:txPr>
        <a:bodyPr/>
        <a:lstStyle/>
        <a:p>
          <a:pPr>
            <a:defRPr sz="1000" b="0" strike="noStrike" spc="-1">
              <a:latin typeface="Arial"/>
            </a:defRPr>
          </a:pPr>
          <a:endParaRPr lang="en-US"/>
        </a:p>
      </c:txPr>
    </c:legend>
    <c:plotVisOnly val="1"/>
    <c:dispBlanksAs val="gap"/>
    <c:showDLblsOverMax val="1"/>
  </c:chart>
  <c:spPr>
    <a:solidFill>
      <a:srgbClr val="FFFFFF"/>
    </a:solidFill>
    <a:ln w="9360">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38880</xdr:colOff>
      <xdr:row>24</xdr:row>
      <xdr:rowOff>10440</xdr:rowOff>
    </xdr:from>
    <xdr:to>
      <xdr:col>13</xdr:col>
      <xdr:colOff>270</xdr:colOff>
      <xdr:row>47</xdr:row>
      <xdr:rowOff>56880</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10</xdr:row>
      <xdr:rowOff>0</xdr:rowOff>
    </xdr:from>
    <xdr:to>
      <xdr:col>7</xdr:col>
      <xdr:colOff>1905000</xdr:colOff>
      <xdr:row>11</xdr:row>
      <xdr:rowOff>47625</xdr:rowOff>
    </xdr:to>
    <xdr:pic>
      <xdr:nvPicPr>
        <xdr:cNvPr id="2" name="Picture 1">
          <a:extLst>
            <a:ext uri="{FF2B5EF4-FFF2-40B4-BE49-F238E27FC236}">
              <a16:creationId xmlns:a16="http://schemas.microsoft.com/office/drawing/2014/main" id="{A1B9DAEB-7F7A-7930-A9F4-3F5131451532}"/>
            </a:ext>
          </a:extLst>
        </xdr:cNvPr>
        <xdr:cNvPicPr>
          <a:picLocks noChangeAspect="1"/>
        </xdr:cNvPicPr>
      </xdr:nvPicPr>
      <xdr:blipFill>
        <a:blip xmlns:r="http://schemas.openxmlformats.org/officeDocument/2006/relationships" r:embed="rId1"/>
        <a:stretch>
          <a:fillRect/>
        </a:stretch>
      </xdr:blipFill>
      <xdr:spPr>
        <a:xfrm>
          <a:off x="9067800" y="3714750"/>
          <a:ext cx="4572000" cy="42862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E93156-A653-402E-A7B4-5FF5D5D03288}" name="Tabela1" displayName="Tabela1" ref="A1:H39" totalsRowShown="0" headerRowDxfId="11" headerRowBorderDxfId="9" tableBorderDxfId="10" totalsRowBorderDxfId="8">
  <autoFilter ref="A1:H39" xr:uid="{E5E93156-A653-402E-A7B4-5FF5D5D03288}">
    <filterColumn colId="5">
      <filters blank="1">
        <filter val="Compliant"/>
      </filters>
    </filterColumn>
  </autoFilter>
  <tableColumns count="8">
    <tableColumn id="1" xr3:uid="{FE190CCC-4C88-4865-A4D9-5B922288D985}" name="Section ID" dataDxfId="7"/>
    <tableColumn id="2" xr3:uid="{A9E20D4F-1BDC-49F3-818F-651069B9A6F0}" name="Section Name" dataDxfId="6"/>
    <tableColumn id="3" xr3:uid="{C679620D-199A-439D-A4BB-C612F898C4BE}" name="Req ID" dataDxfId="5"/>
    <tableColumn id="4" xr3:uid="{D1D03B08-8E2B-4511-88C9-8496379F2E53}" name="Description" dataDxfId="4"/>
    <tableColumn id="5" xr3:uid="{C0A81E09-7750-4D0B-A736-3BC50141769E}" name="Level" dataDxfId="3"/>
    <tableColumn id="6" xr3:uid="{87EF56DC-85F5-4F56-8EDA-29EBA536B31F}" name="Status" dataDxfId="2"/>
    <tableColumn id="7" xr3:uid="{B14E4C82-481F-476B-9F94-5503A12B9A2A}" name="Observations" dataDxfId="1"/>
    <tableColumn id="8" xr3:uid="{4FD90F60-1997-436A-A911-0DFD414AD234}" name="Reference / Link" dataDxfId="0"/>
  </tableColumns>
  <tableStyleInfo name="TableStyleLight9"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3"/>
  <sheetViews>
    <sheetView showGridLines="0" tabSelected="1" zoomScale="75" zoomScaleNormal="75" workbookViewId="0">
      <selection activeCell="S42" sqref="S42"/>
    </sheetView>
  </sheetViews>
  <sheetFormatPr defaultColWidth="8.5703125" defaultRowHeight="15"/>
  <cols>
    <col min="1" max="1" width="34" customWidth="1"/>
    <col min="2" max="13" width="11" customWidth="1"/>
  </cols>
  <sheetData>
    <row r="1" spans="1:16" ht="36" customHeight="1">
      <c r="A1" s="48" t="s">
        <v>0</v>
      </c>
      <c r="B1" s="48"/>
      <c r="C1" s="48"/>
      <c r="D1" s="48"/>
      <c r="E1" s="48"/>
      <c r="F1" s="48"/>
      <c r="G1" s="48"/>
      <c r="H1" s="48"/>
      <c r="I1" s="48"/>
      <c r="J1" s="48"/>
      <c r="K1" s="48"/>
      <c r="L1" s="48"/>
      <c r="M1" s="48"/>
      <c r="N1" s="48"/>
      <c r="O1" s="48"/>
      <c r="P1" s="48"/>
    </row>
    <row r="2" spans="1:16" ht="20.100000000000001" customHeight="1">
      <c r="A2" s="49"/>
      <c r="B2" s="49"/>
      <c r="C2" s="49"/>
      <c r="D2" s="49"/>
      <c r="E2" s="49"/>
      <c r="F2" s="49"/>
      <c r="G2" s="49"/>
      <c r="H2" s="49"/>
      <c r="I2" s="49"/>
      <c r="J2" s="49"/>
      <c r="K2" s="49"/>
      <c r="L2" s="49"/>
      <c r="M2" s="49"/>
      <c r="N2" s="49"/>
      <c r="O2" s="49"/>
      <c r="P2" s="49"/>
    </row>
    <row r="3" spans="1:16" ht="18" customHeight="1">
      <c r="A3" s="50"/>
      <c r="B3" s="50"/>
      <c r="C3" s="1"/>
      <c r="E3" s="1"/>
      <c r="G3" s="1"/>
      <c r="I3" s="1"/>
      <c r="K3" s="1"/>
      <c r="M3" s="1"/>
      <c r="O3" s="1"/>
    </row>
    <row r="5" spans="1:16" ht="32.1" customHeight="1">
      <c r="A5" s="2" t="s">
        <v>1</v>
      </c>
      <c r="B5" s="2" t="s">
        <v>2</v>
      </c>
      <c r="C5" s="2" t="s">
        <v>3</v>
      </c>
      <c r="D5" s="2" t="s">
        <v>4</v>
      </c>
      <c r="E5" s="2" t="s">
        <v>5</v>
      </c>
      <c r="F5" s="2" t="s">
        <v>6</v>
      </c>
      <c r="G5" s="2" t="s">
        <v>7</v>
      </c>
      <c r="H5" s="2" t="s">
        <v>8</v>
      </c>
      <c r="I5" s="2" t="s">
        <v>9</v>
      </c>
      <c r="J5" s="2" t="s">
        <v>10</v>
      </c>
      <c r="K5" s="2" t="s">
        <v>11</v>
      </c>
      <c r="L5" s="2" t="s">
        <v>12</v>
      </c>
      <c r="M5" s="2" t="s">
        <v>13</v>
      </c>
    </row>
    <row r="6" spans="1:16" ht="18" customHeight="1">
      <c r="A6" s="3" t="s">
        <v>14</v>
      </c>
      <c r="B6" s="4">
        <v>30</v>
      </c>
      <c r="C6" s="4">
        <v>8</v>
      </c>
      <c r="D6" s="4">
        <f>COUNTIFS('V1 - Encoding and Sanitization'!$F$2:$F$36,"Compliant",'V1 - Encoding and Sanitization'!$E$2:$E$36,1)</f>
        <v>4</v>
      </c>
      <c r="E6" s="5">
        <f t="shared" ref="E6:E20" si="0">IF(C6=0,"",D6/C6)</f>
        <v>0.5</v>
      </c>
      <c r="F6" s="4">
        <v>19</v>
      </c>
      <c r="G6" s="4">
        <f>COUNTIFS('V1 - Encoding and Sanitization'!$F$2:$F$36,"Compliant",'V1 - Encoding and Sanitization'!$E$2:$E$36,2)</f>
        <v>1</v>
      </c>
      <c r="H6" s="5">
        <f t="shared" ref="H6:H22" si="1">IF(F6=0,"",G6/F6)</f>
        <v>5.2631578947368418E-2</v>
      </c>
      <c r="I6" s="4">
        <v>3</v>
      </c>
      <c r="J6" s="4">
        <f>COUNTIFS('V1 - Encoding and Sanitization'!$F$2:$F$36,"Compliant",'V1 - Encoding and Sanitization'!$E$2:$E$36,3)</f>
        <v>0</v>
      </c>
      <c r="K6" s="5">
        <f t="shared" ref="K6:K13" si="2">IF(I6=0,"",J6/I6)</f>
        <v>0</v>
      </c>
      <c r="L6" s="4">
        <f>COUNTIF('V1 - Encoding and Sanitization'!$F$2:$F$36,"Compliant")</f>
        <v>5</v>
      </c>
      <c r="M6" s="5">
        <f t="shared" ref="M6:M22" si="3">IF(B6=0,"",L6/B6)</f>
        <v>0.16666666666666666</v>
      </c>
    </row>
    <row r="7" spans="1:16" ht="18" customHeight="1">
      <c r="A7" s="6" t="s">
        <v>15</v>
      </c>
      <c r="B7" s="7">
        <v>13</v>
      </c>
      <c r="C7" s="7">
        <v>4</v>
      </c>
      <c r="D7" s="7">
        <f>COUNTIFS('V2 - Validation and Business Lo'!$F$2:$F$18,"Compliant",'V2 - Validation and Business Lo'!$E$2:$E$18,1)</f>
        <v>4</v>
      </c>
      <c r="E7" s="8">
        <f t="shared" si="0"/>
        <v>1</v>
      </c>
      <c r="F7" s="7">
        <v>7</v>
      </c>
      <c r="G7" s="7">
        <f>COUNTIFS('V2 - Validation and Business Lo'!$F$2:$F$18,"Compliant",'V2 - Validation and Business Lo'!$E$2:$E$18,2)</f>
        <v>4</v>
      </c>
      <c r="H7" s="8">
        <f t="shared" si="1"/>
        <v>0.5714285714285714</v>
      </c>
      <c r="I7" s="7">
        <v>2</v>
      </c>
      <c r="J7" s="7">
        <f>COUNTIFS('V2 - Validation and Business Lo'!$F$2:$F$18,"Compliant",'V2 - Validation and Business Lo'!$E$2:$E$18,3)</f>
        <v>0</v>
      </c>
      <c r="K7" s="8">
        <f t="shared" si="2"/>
        <v>0</v>
      </c>
      <c r="L7" s="7">
        <f>COUNTIF('V2 - Validation and Business Lo'!$F$2:$F$18,"Compliant")</f>
        <v>8</v>
      </c>
      <c r="M7" s="8">
        <f t="shared" si="3"/>
        <v>0.61538461538461542</v>
      </c>
    </row>
    <row r="8" spans="1:16" ht="18" customHeight="1">
      <c r="A8" s="3" t="s">
        <v>16</v>
      </c>
      <c r="B8" s="4">
        <v>31</v>
      </c>
      <c r="C8" s="4">
        <v>8</v>
      </c>
      <c r="D8" s="4">
        <f>COUNTIFS('V3 - Web Frontend Security'!$F$2:$F$39,"Compliant",'V3 - Web Frontend Security'!$E$2:$E$39,1)</f>
        <v>6</v>
      </c>
      <c r="E8" s="5">
        <f t="shared" si="0"/>
        <v>0.75</v>
      </c>
      <c r="F8" s="4">
        <v>11</v>
      </c>
      <c r="G8" s="4">
        <f>COUNTIFS('V3 - Web Frontend Security'!$F$2:$F$39,"Compliant",'V3 - Web Frontend Security'!$E$2:$E$39,2)</f>
        <v>4</v>
      </c>
      <c r="H8" s="5">
        <f t="shared" si="1"/>
        <v>0.36363636363636365</v>
      </c>
      <c r="I8" s="4">
        <v>12</v>
      </c>
      <c r="J8" s="4">
        <f>COUNTIFS('V3 - Web Frontend Security'!$F$2:$F$39,"Compliant",'V3 - Web Frontend Security'!$E$2:$E$39,3)</f>
        <v>0</v>
      </c>
      <c r="K8" s="5">
        <f t="shared" si="2"/>
        <v>0</v>
      </c>
      <c r="L8" s="4">
        <f>COUNTIF('V3 - Web Frontend Security'!$F$2:$F$39,"Compliant")</f>
        <v>10</v>
      </c>
      <c r="M8" s="5">
        <f t="shared" si="3"/>
        <v>0.32258064516129031</v>
      </c>
    </row>
    <row r="9" spans="1:16" ht="18" customHeight="1">
      <c r="A9" s="6" t="s">
        <v>17</v>
      </c>
      <c r="B9" s="7">
        <v>16</v>
      </c>
      <c r="C9" s="7">
        <v>2</v>
      </c>
      <c r="D9" s="7">
        <f>COUNTIFS('V4 - API and Web Service'!$F$2:$F$21,"Compliant",'V4 - API and Web Service'!$E$2:$E$21,1)</f>
        <v>1</v>
      </c>
      <c r="E9" s="8">
        <f t="shared" si="0"/>
        <v>0.5</v>
      </c>
      <c r="F9" s="7">
        <v>8</v>
      </c>
      <c r="G9" s="7">
        <f>COUNTIFS('V4 - API and Web Service'!$F$2:$F$21,"Compliant",'V4 - API and Web Service'!$E$2:$E$21,2)</f>
        <v>2</v>
      </c>
      <c r="H9" s="8">
        <f t="shared" si="1"/>
        <v>0.25</v>
      </c>
      <c r="I9" s="7">
        <v>6</v>
      </c>
      <c r="J9" s="7">
        <f>COUNTIFS('V4 - API and Web Service'!$F$2:$F$21,"Compliant",'V4 - API and Web Service'!$E$2:$E$21,3)</f>
        <v>5</v>
      </c>
      <c r="K9" s="8">
        <f t="shared" si="2"/>
        <v>0.83333333333333337</v>
      </c>
      <c r="L9" s="7">
        <f>COUNTIF('V4 - API and Web Service'!$F$2:$F$21,"Compliant")</f>
        <v>8</v>
      </c>
      <c r="M9" s="8">
        <f t="shared" si="3"/>
        <v>0.5</v>
      </c>
    </row>
    <row r="10" spans="1:16" ht="18" customHeight="1">
      <c r="A10" s="3" t="s">
        <v>18</v>
      </c>
      <c r="B10" s="4">
        <v>13</v>
      </c>
      <c r="C10" s="4">
        <v>4</v>
      </c>
      <c r="D10" s="4">
        <f>COUNTIFS('V5 - File Handling'!$F$2:$F$18,"Compliant",'V5 - File Handling'!$E$2:$E$18,1)</f>
        <v>3</v>
      </c>
      <c r="E10" s="5">
        <f t="shared" si="0"/>
        <v>0.75</v>
      </c>
      <c r="F10" s="4">
        <v>5</v>
      </c>
      <c r="G10" s="4">
        <f>COUNTIFS('V5 - File Handling'!$F$2:$F$18,"Compliant",'V5 - File Handling'!$E$2:$E$18,2)</f>
        <v>2</v>
      </c>
      <c r="H10" s="5">
        <f t="shared" si="1"/>
        <v>0.4</v>
      </c>
      <c r="I10" s="4">
        <v>4</v>
      </c>
      <c r="J10" s="4">
        <f>COUNTIFS('V5 - File Handling'!$F$2:$F$18,"Compliant",'V5 - File Handling'!$E$2:$E$18,3)</f>
        <v>2</v>
      </c>
      <c r="K10" s="5">
        <f t="shared" si="2"/>
        <v>0.5</v>
      </c>
      <c r="L10" s="4">
        <f>COUNTIF('V5 - File Handling'!$F$2:$F$18,"Compliant")</f>
        <v>7</v>
      </c>
      <c r="M10" s="5">
        <f t="shared" si="3"/>
        <v>0.53846153846153844</v>
      </c>
    </row>
    <row r="11" spans="1:16" ht="18" customHeight="1">
      <c r="A11" s="6" t="s">
        <v>19</v>
      </c>
      <c r="B11" s="7">
        <v>47</v>
      </c>
      <c r="C11" s="7">
        <v>13</v>
      </c>
      <c r="D11" s="7">
        <f>COUNTIFS('V6 - Authentication'!$F$2:$F$56,"Compliant",'V6 - Authentication'!$E$2:$E$56,1)</f>
        <v>10</v>
      </c>
      <c r="E11" s="8">
        <f t="shared" si="0"/>
        <v>0.76923076923076927</v>
      </c>
      <c r="F11" s="7">
        <v>22</v>
      </c>
      <c r="G11" s="7">
        <f>COUNTIFS('V6 - Authentication'!$F$2:$F$56,"Compliant",'V6 - Authentication'!$E$2:$E$56,2)</f>
        <v>7</v>
      </c>
      <c r="H11" s="8">
        <f t="shared" si="1"/>
        <v>0.31818181818181818</v>
      </c>
      <c r="I11" s="7">
        <v>12</v>
      </c>
      <c r="J11" s="7">
        <f>COUNTIFS('V6 - Authentication'!$F$2:$F$56,"Compliant",'V6 - Authentication'!$E$2:$E$56,3)</f>
        <v>5</v>
      </c>
      <c r="K11" s="8">
        <f t="shared" si="2"/>
        <v>0.41666666666666669</v>
      </c>
      <c r="L11" s="7">
        <f>COUNTIF('V6 - Authentication'!$F$2:$F$56,"Compliant")</f>
        <v>22</v>
      </c>
      <c r="M11" s="8">
        <f t="shared" si="3"/>
        <v>0.46808510638297873</v>
      </c>
    </row>
    <row r="12" spans="1:16" ht="18" customHeight="1">
      <c r="A12" s="3" t="s">
        <v>20</v>
      </c>
      <c r="B12" s="4">
        <v>19</v>
      </c>
      <c r="C12" s="4">
        <v>6</v>
      </c>
      <c r="D12" s="4">
        <f>COUNTIFS('V7 - Session Management'!$F$2:$F$26,"Compliant",'V7 - Session Management'!$E$2:$E$26,1)</f>
        <v>6</v>
      </c>
      <c r="E12" s="5">
        <f t="shared" si="0"/>
        <v>1</v>
      </c>
      <c r="F12" s="4">
        <v>12</v>
      </c>
      <c r="G12" s="4">
        <f>COUNTIFS('V7 - Session Management'!$F$2:$F$26,"Compliant",'V7 - Session Management'!$E$2:$E$26,2)</f>
        <v>8</v>
      </c>
      <c r="H12" s="5">
        <f t="shared" si="1"/>
        <v>0.66666666666666663</v>
      </c>
      <c r="I12" s="4">
        <v>1</v>
      </c>
      <c r="J12" s="4">
        <f>COUNTIFS('V7 - Session Management'!$F$2:$F$26,"Compliant",'V7 - Session Management'!$E$2:$E$26,3)</f>
        <v>0</v>
      </c>
      <c r="K12" s="5">
        <f t="shared" si="2"/>
        <v>0</v>
      </c>
      <c r="L12" s="4">
        <f>COUNTIF('V7 - Session Management'!$F$2:$F$26,"Compliant")</f>
        <v>14</v>
      </c>
      <c r="M12" s="5">
        <f t="shared" si="3"/>
        <v>0.73684210526315785</v>
      </c>
    </row>
    <row r="13" spans="1:16" ht="18" customHeight="1">
      <c r="A13" s="6" t="s">
        <v>21</v>
      </c>
      <c r="B13" s="7">
        <v>13</v>
      </c>
      <c r="C13" s="7">
        <v>4</v>
      </c>
      <c r="D13" s="7">
        <f>COUNTIFS('V8 - Authorization'!$F$2:$F$18,"Compliant",'V8 - Authorization'!$E$2:$E$18,1)</f>
        <v>4</v>
      </c>
      <c r="E13" s="8">
        <f t="shared" si="0"/>
        <v>1</v>
      </c>
      <c r="F13" s="7">
        <v>3</v>
      </c>
      <c r="G13" s="7">
        <f>COUNTIFS('V8 - Authorization'!$F$2:$F$18,"Compliant",'V8 - Authorization'!$E$2:$E$18,2)</f>
        <v>2</v>
      </c>
      <c r="H13" s="8">
        <f t="shared" si="1"/>
        <v>0.66666666666666663</v>
      </c>
      <c r="I13" s="7">
        <v>6</v>
      </c>
      <c r="J13" s="7">
        <f>COUNTIFS('V8 - Authorization'!$F$2:$F$18,"Compliant",'V8 - Authorization'!$E$2:$E$18,3)</f>
        <v>4</v>
      </c>
      <c r="K13" s="8">
        <f t="shared" si="2"/>
        <v>0.66666666666666663</v>
      </c>
      <c r="L13" s="7">
        <f>COUNTIF('V8 - Authorization'!$F$2:$F$18,"Compliant")</f>
        <v>10</v>
      </c>
      <c r="M13" s="8">
        <f t="shared" si="3"/>
        <v>0.76923076923076927</v>
      </c>
    </row>
    <row r="14" spans="1:16" ht="18" customHeight="1">
      <c r="A14" s="3" t="s">
        <v>22</v>
      </c>
      <c r="B14" s="4">
        <v>7</v>
      </c>
      <c r="C14" s="4">
        <v>4</v>
      </c>
      <c r="D14" s="4">
        <f>COUNTIFS('V9 - Self-contained Tokens'!$F$2:$F$10,"Compliant",'V9 - Self-contained Tokens'!$E$2:$E$10,1)</f>
        <v>4</v>
      </c>
      <c r="E14" s="5">
        <f t="shared" si="0"/>
        <v>1</v>
      </c>
      <c r="F14" s="4">
        <v>3</v>
      </c>
      <c r="G14" s="4">
        <f>COUNTIFS('V9 - Self-contained Tokens'!$F$2:$F$10,"Compliant",'V9 - Self-contained Tokens'!$E$2:$E$10,2)</f>
        <v>3</v>
      </c>
      <c r="H14" s="5">
        <f t="shared" si="1"/>
        <v>1</v>
      </c>
      <c r="I14" s="4">
        <v>0</v>
      </c>
      <c r="J14" s="4" t="s">
        <v>23</v>
      </c>
      <c r="K14" s="4" t="s">
        <v>23</v>
      </c>
      <c r="L14" s="4">
        <f>COUNTIF('V9 - Self-contained Tokens'!$F$2:$F$10,"Compliant")</f>
        <v>7</v>
      </c>
      <c r="M14" s="5">
        <f t="shared" si="3"/>
        <v>1</v>
      </c>
    </row>
    <row r="15" spans="1:16" ht="18" customHeight="1">
      <c r="A15" s="6" t="s">
        <v>24</v>
      </c>
      <c r="B15" s="7">
        <v>36</v>
      </c>
      <c r="C15" s="7">
        <v>5</v>
      </c>
      <c r="D15" s="7">
        <f>COUNTIFS('V10 - OAuth and OIDC'!$F$2:$F$44,"Compliant",'V10 - OAuth and OIDC'!$E$2:$E$44,1)</f>
        <v>0</v>
      </c>
      <c r="E15" s="8">
        <f t="shared" si="0"/>
        <v>0</v>
      </c>
      <c r="F15" s="7">
        <v>24</v>
      </c>
      <c r="G15" s="7">
        <f>COUNTIFS('V10 - OAuth and OIDC'!$F$2:$F$44,"Compliant",'V10 - OAuth and OIDC'!$E$2:$E$44,2)</f>
        <v>0</v>
      </c>
      <c r="H15" s="8">
        <f t="shared" si="1"/>
        <v>0</v>
      </c>
      <c r="I15" s="7">
        <v>7</v>
      </c>
      <c r="J15" s="7">
        <f>COUNTIFS('V10 - OAuth and OIDC'!$F$2:$F$44,"Compliant",'V10 - OAuth and OIDC'!$E$2:$E$44,3)</f>
        <v>0</v>
      </c>
      <c r="K15" s="8">
        <f t="shared" ref="K15:K22" si="4">IF(I15=0,"",J15/I15)</f>
        <v>0</v>
      </c>
      <c r="L15" s="7">
        <f>COUNTIF('V10 - OAuth and OIDC'!$F$2:$F$44,"Compliant")</f>
        <v>0</v>
      </c>
      <c r="M15" s="8">
        <f t="shared" si="3"/>
        <v>0</v>
      </c>
    </row>
    <row r="16" spans="1:16" ht="18" customHeight="1">
      <c r="A16" s="3" t="s">
        <v>25</v>
      </c>
      <c r="B16" s="4">
        <v>24</v>
      </c>
      <c r="C16" s="4">
        <v>3</v>
      </c>
      <c r="D16" s="4">
        <f>COUNTIFS('V11 - Cryptography'!$F$2:$F$32,"Compliant",'V11 - Cryptography'!$E$2:$E$32,1)</f>
        <v>1</v>
      </c>
      <c r="E16" s="5">
        <f t="shared" si="0"/>
        <v>0.33333333333333331</v>
      </c>
      <c r="F16" s="4">
        <v>11</v>
      </c>
      <c r="G16" s="4">
        <f>COUNTIFS('V11 - Cryptography'!$F$2:$F$32,"Compliant",'V11 - Cryptography'!$E$2:$E$32,2)</f>
        <v>6</v>
      </c>
      <c r="H16" s="5">
        <f t="shared" si="1"/>
        <v>0.54545454545454541</v>
      </c>
      <c r="I16" s="4">
        <v>10</v>
      </c>
      <c r="J16" s="4">
        <f>COUNTIFS('V11 - Cryptography'!$F$2:$F$32,"Compliant",'V11 - Cryptography'!$E$2:$E$32,3)</f>
        <v>6</v>
      </c>
      <c r="K16" s="5">
        <f t="shared" si="4"/>
        <v>0.6</v>
      </c>
      <c r="L16" s="4">
        <f>COUNTIF('V11 - Cryptography'!$F$2:$F$32,"Compliant")</f>
        <v>13</v>
      </c>
      <c r="M16" s="5">
        <f t="shared" si="3"/>
        <v>0.54166666666666663</v>
      </c>
    </row>
    <row r="17" spans="1:13" ht="18" customHeight="1">
      <c r="A17" s="6" t="s">
        <v>26</v>
      </c>
      <c r="B17" s="7">
        <v>12</v>
      </c>
      <c r="C17" s="7">
        <v>3</v>
      </c>
      <c r="D17" s="7">
        <f>COUNTIFS('V12 - Secure Communication'!$F$2:$F$16,"Compliant",'V12 - Secure Communication'!$E$2:$E$16,1)</f>
        <v>2</v>
      </c>
      <c r="E17" s="8">
        <f t="shared" si="0"/>
        <v>0.66666666666666663</v>
      </c>
      <c r="F17" s="7">
        <v>6</v>
      </c>
      <c r="G17" s="7">
        <f>COUNTIFS('V12 - Secure Communication'!$F$2:$F$16,"Compliant",'V12 - Secure Communication'!$E$2:$E$16,2)</f>
        <v>1</v>
      </c>
      <c r="H17" s="8">
        <f t="shared" si="1"/>
        <v>0.16666666666666666</v>
      </c>
      <c r="I17" s="7">
        <v>3</v>
      </c>
      <c r="J17" s="7">
        <f>COUNTIFS('V12 - Secure Communication'!$F$2:$F$16,"Compliant",'V12 - Secure Communication'!$E$2:$E$16,3)</f>
        <v>0</v>
      </c>
      <c r="K17" s="8">
        <f t="shared" si="4"/>
        <v>0</v>
      </c>
      <c r="L17" s="7">
        <f>COUNTIF('V12 - Secure Communication'!$F$2:$F$16,"Compliant")</f>
        <v>3</v>
      </c>
      <c r="M17" s="8">
        <f t="shared" si="3"/>
        <v>0.25</v>
      </c>
    </row>
    <row r="18" spans="1:13" ht="18" customHeight="1">
      <c r="A18" s="3" t="s">
        <v>27</v>
      </c>
      <c r="B18" s="4">
        <v>21</v>
      </c>
      <c r="C18" s="4">
        <v>1</v>
      </c>
      <c r="D18" s="4">
        <f>COUNTIFS('V13 - Configuration'!$F$2:$F$26,"Compliant",'V13 - Configuration'!$E$2:$E$26,1)</f>
        <v>0</v>
      </c>
      <c r="E18" s="5">
        <f t="shared" si="0"/>
        <v>0</v>
      </c>
      <c r="F18" s="4">
        <v>12</v>
      </c>
      <c r="G18" s="4">
        <f>COUNTIFS('V13 - Configuration'!$F$2:$F$26,"Compliant",'V13 - Configuration'!$E$2:$E$26,2)</f>
        <v>0</v>
      </c>
      <c r="H18" s="5">
        <f t="shared" si="1"/>
        <v>0</v>
      </c>
      <c r="I18" s="4">
        <v>8</v>
      </c>
      <c r="J18" s="4">
        <f>COUNTIFS('V13 - Configuration'!$F$2:$F$26,"Compliant",'V13 - Configuration'!$E$2:$E$26,3)</f>
        <v>0</v>
      </c>
      <c r="K18" s="5">
        <f t="shared" si="4"/>
        <v>0</v>
      </c>
      <c r="L18" s="4">
        <f>COUNTIF('V13 - Configuration'!$F$2:$F$26,"Compliant")</f>
        <v>0</v>
      </c>
      <c r="M18" s="5">
        <f t="shared" si="3"/>
        <v>0</v>
      </c>
    </row>
    <row r="19" spans="1:13" ht="18" customHeight="1">
      <c r="A19" s="6" t="s">
        <v>28</v>
      </c>
      <c r="B19" s="7">
        <v>13</v>
      </c>
      <c r="C19" s="7">
        <v>2</v>
      </c>
      <c r="D19" s="7">
        <f>COUNTIFS('V14 - Data Protection'!$F$2:$F$17,"Compliant",'V14 - Data Protection'!$E$2:$E$17,1)</f>
        <v>2</v>
      </c>
      <c r="E19" s="8">
        <f t="shared" si="0"/>
        <v>1</v>
      </c>
      <c r="F19" s="7">
        <v>7</v>
      </c>
      <c r="G19" s="7">
        <f>COUNTIFS('V14 - Data Protection'!$F$2:$F$17,"Compliant",'V14 - Data Protection'!$E$2:$E$17,2)</f>
        <v>5</v>
      </c>
      <c r="H19" s="8">
        <f t="shared" si="1"/>
        <v>0.7142857142857143</v>
      </c>
      <c r="I19" s="7">
        <v>4</v>
      </c>
      <c r="J19" s="7">
        <f>COUNTIFS('V14 - Data Protection'!$F$2:$F$17,"Compliant",'V14 - Data Protection'!$E$2:$E$17,3)</f>
        <v>2</v>
      </c>
      <c r="K19" s="8">
        <f t="shared" si="4"/>
        <v>0.5</v>
      </c>
      <c r="L19" s="7">
        <f>COUNTIF('V14 - Data Protection'!$F$2:$F$17,"Compliant")</f>
        <v>9</v>
      </c>
      <c r="M19" s="8">
        <f t="shared" si="3"/>
        <v>0.69230769230769229</v>
      </c>
    </row>
    <row r="20" spans="1:13" ht="18" customHeight="1">
      <c r="A20" s="3" t="s">
        <v>29</v>
      </c>
      <c r="B20" s="4">
        <v>21</v>
      </c>
      <c r="C20" s="4">
        <v>3</v>
      </c>
      <c r="D20" s="4">
        <f>COUNTIFS('V15 - Secure Coding and Archite'!$F$2:$F$26,"Compliant",'V15 - Secure Coding and Archite'!$E$2:$E$26,1)</f>
        <v>2</v>
      </c>
      <c r="E20" s="5">
        <f t="shared" si="0"/>
        <v>0.66666666666666663</v>
      </c>
      <c r="F20" s="4">
        <v>10</v>
      </c>
      <c r="G20" s="4">
        <f>COUNTIFS('V15 - Secure Coding and Archite'!$F$2:$F$26,"Compliant",'V15 - Secure Coding and Archite'!$E$2:$E$26,2)</f>
        <v>7</v>
      </c>
      <c r="H20" s="5">
        <f t="shared" si="1"/>
        <v>0.7</v>
      </c>
      <c r="I20" s="4">
        <v>8</v>
      </c>
      <c r="J20" s="4">
        <f>COUNTIFS('V15 - Secure Coding and Archite'!$F$2:$F$26,"Compliant",'V15 - Secure Coding and Archite'!$E$2:$E$26,3)</f>
        <v>1</v>
      </c>
      <c r="K20" s="5">
        <f t="shared" si="4"/>
        <v>0.125</v>
      </c>
      <c r="L20" s="4">
        <f>COUNTIF('V15 - Secure Coding and Archite'!$F$2:$F$26,"Compliant")</f>
        <v>10</v>
      </c>
      <c r="M20" s="5">
        <f t="shared" si="3"/>
        <v>0.47619047619047616</v>
      </c>
    </row>
    <row r="21" spans="1:13" ht="18" customHeight="1">
      <c r="A21" s="6" t="s">
        <v>30</v>
      </c>
      <c r="B21" s="7">
        <v>17</v>
      </c>
      <c r="C21" s="7">
        <v>0</v>
      </c>
      <c r="D21" s="7" t="s">
        <v>23</v>
      </c>
      <c r="E21" s="7" t="s">
        <v>23</v>
      </c>
      <c r="F21" s="7">
        <v>16</v>
      </c>
      <c r="G21" s="7">
        <f>COUNTIFS('V16 - Security Logging and Erro'!$F$2:$F$23,"Compliant",'V16 - Security Logging and Erro'!$E$2:$E$23,2)</f>
        <v>8</v>
      </c>
      <c r="H21" s="8">
        <f t="shared" si="1"/>
        <v>0.5</v>
      </c>
      <c r="I21" s="7">
        <v>1</v>
      </c>
      <c r="J21" s="7">
        <f>COUNTIFS('V16 - Security Logging and Erro'!$F$2:$F$23,"Compliant",'V16 - Security Logging and Erro'!$E$2:$E$23,3)</f>
        <v>0</v>
      </c>
      <c r="K21" s="8">
        <f t="shared" si="4"/>
        <v>0</v>
      </c>
      <c r="L21" s="7">
        <f>COUNTIF('V16 - Security Logging and Erro'!$F$2:$F$23,"Compliant")</f>
        <v>8</v>
      </c>
      <c r="M21" s="8">
        <f t="shared" si="3"/>
        <v>0.47058823529411764</v>
      </c>
    </row>
    <row r="22" spans="1:13" ht="18" customHeight="1">
      <c r="A22" s="3" t="s">
        <v>31</v>
      </c>
      <c r="B22" s="4">
        <v>12</v>
      </c>
      <c r="C22" s="4">
        <v>0</v>
      </c>
      <c r="D22" s="4" t="s">
        <v>23</v>
      </c>
      <c r="E22" s="4" t="s">
        <v>23</v>
      </c>
      <c r="F22" s="4">
        <v>7</v>
      </c>
      <c r="G22" s="4">
        <f>COUNTIFS('V17 - WebRTC'!$F$2:$F$16,"Compliant",'V17 - WebRTC'!$E$2:$E$16,2)</f>
        <v>0</v>
      </c>
      <c r="H22" s="5">
        <f t="shared" si="1"/>
        <v>0</v>
      </c>
      <c r="I22" s="4">
        <v>5</v>
      </c>
      <c r="J22" s="4">
        <f>COUNTIFS('V17 - WebRTC'!$F$2:$F$16,"Compliant",'V17 - WebRTC'!$E$2:$E$16,3)</f>
        <v>0</v>
      </c>
      <c r="K22" s="5">
        <f t="shared" si="4"/>
        <v>0</v>
      </c>
      <c r="L22" s="4">
        <f>COUNTIF('V17 - WebRTC'!$F$2:$F$16,"Compliant")</f>
        <v>0</v>
      </c>
      <c r="M22" s="5">
        <f t="shared" si="3"/>
        <v>0</v>
      </c>
    </row>
    <row r="23" spans="1:13" ht="21.95" customHeight="1">
      <c r="A23" s="9" t="s">
        <v>32</v>
      </c>
      <c r="B23" s="10">
        <f>SUM(B6:B22)</f>
        <v>345</v>
      </c>
      <c r="C23" s="10">
        <f>SUM(C6:C22)</f>
        <v>70</v>
      </c>
      <c r="D23" s="10">
        <f>SUM(D6:D22)</f>
        <v>49</v>
      </c>
      <c r="E23" s="11">
        <f>IFERROR(AVERAGE(E6:E22),"")</f>
        <v>0.66239316239316226</v>
      </c>
      <c r="F23" s="10">
        <f>SUM(F6:F22)</f>
        <v>183</v>
      </c>
      <c r="G23" s="10">
        <f>SUM(G6:G22)</f>
        <v>60</v>
      </c>
      <c r="H23" s="11">
        <f>IFERROR(AVERAGE(H6:H22),"")</f>
        <v>0.40680109364319894</v>
      </c>
      <c r="I23" s="10">
        <f>SUM(I6:I22)</f>
        <v>92</v>
      </c>
      <c r="J23" s="10">
        <f>SUM(J6:J22)</f>
        <v>25</v>
      </c>
      <c r="K23" s="11">
        <f>IFERROR(AVERAGE(K6:K22),"")</f>
        <v>0.22760416666666669</v>
      </c>
      <c r="L23" s="10">
        <f>SUM(L6:L22)</f>
        <v>134</v>
      </c>
      <c r="M23" s="11">
        <f>IFERROR(AVERAGE(M6:M22),"")</f>
        <v>0.44400026570646883</v>
      </c>
    </row>
  </sheetData>
  <mergeCells count="3">
    <mergeCell ref="A1:P1"/>
    <mergeCell ref="A2:P2"/>
    <mergeCell ref="A3:B3"/>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5" right="0.75" top="1" bottom="1" header="0.51180555555555496" footer="0.51180555555555496"/>
  <pageSetup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6"/>
  <sheetViews>
    <sheetView zoomScale="75" zoomScaleNormal="75" workbookViewId="0">
      <pane ySplit="1" topLeftCell="A19" activePane="bottomLeft" state="frozen"/>
      <selection pane="bottomLeft" activeCell="F30" sqref="F30"/>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99.7109375" bestFit="1" customWidth="1"/>
    <col min="8" max="8" width="50.42578125" bestFit="1" customWidth="1"/>
  </cols>
  <sheetData>
    <row r="1" spans="1:8" ht="27.95" customHeight="1">
      <c r="A1" s="12" t="s">
        <v>33</v>
      </c>
      <c r="B1" s="12" t="s">
        <v>34</v>
      </c>
      <c r="C1" s="12" t="s">
        <v>35</v>
      </c>
      <c r="D1" s="12" t="s">
        <v>36</v>
      </c>
      <c r="E1" s="12" t="s">
        <v>37</v>
      </c>
      <c r="F1" s="12" t="s">
        <v>38</v>
      </c>
      <c r="G1" s="12" t="s">
        <v>39</v>
      </c>
      <c r="H1" s="12" t="s">
        <v>40</v>
      </c>
    </row>
    <row r="2" spans="1:8" ht="18" customHeight="1">
      <c r="A2" s="13" t="s">
        <v>41</v>
      </c>
      <c r="B2" s="13" t="s">
        <v>42</v>
      </c>
      <c r="C2" s="13"/>
      <c r="D2" s="13"/>
      <c r="E2" s="13"/>
      <c r="F2" s="13"/>
      <c r="G2" s="13"/>
      <c r="H2" s="13"/>
    </row>
    <row r="3" spans="1:8" ht="30" customHeight="1">
      <c r="A3" s="14" t="s">
        <v>41</v>
      </c>
      <c r="B3" s="14" t="s">
        <v>42</v>
      </c>
      <c r="C3" s="15" t="s">
        <v>43</v>
      </c>
      <c r="D3" s="16" t="s">
        <v>44</v>
      </c>
      <c r="E3" s="17">
        <v>2</v>
      </c>
      <c r="F3" s="18" t="s">
        <v>45</v>
      </c>
      <c r="G3" s="21" t="s">
        <v>46</v>
      </c>
      <c r="H3" s="21" t="s">
        <v>47</v>
      </c>
    </row>
    <row r="4" spans="1:8" ht="30" customHeight="1">
      <c r="A4" s="19" t="s">
        <v>41</v>
      </c>
      <c r="B4" s="19" t="s">
        <v>42</v>
      </c>
      <c r="C4" s="20" t="s">
        <v>48</v>
      </c>
      <c r="D4" s="21" t="s">
        <v>49</v>
      </c>
      <c r="E4" s="17">
        <v>2</v>
      </c>
      <c r="F4" s="18" t="s">
        <v>50</v>
      </c>
      <c r="G4" s="16" t="s">
        <v>51</v>
      </c>
      <c r="H4" s="16"/>
    </row>
    <row r="5" spans="1:8" ht="18" customHeight="1">
      <c r="A5" s="13" t="s">
        <v>52</v>
      </c>
      <c r="B5" s="13" t="s">
        <v>53</v>
      </c>
      <c r="C5" s="13"/>
      <c r="D5" s="13"/>
      <c r="E5" s="13"/>
      <c r="F5" s="13"/>
      <c r="G5" s="13"/>
      <c r="H5" s="13"/>
    </row>
    <row r="6" spans="1:8" ht="30" customHeight="1">
      <c r="A6" s="14" t="s">
        <v>52</v>
      </c>
      <c r="B6" s="14" t="s">
        <v>53</v>
      </c>
      <c r="C6" s="15" t="s">
        <v>54</v>
      </c>
      <c r="D6" s="16" t="s">
        <v>55</v>
      </c>
      <c r="E6" s="22">
        <v>1</v>
      </c>
      <c r="F6" s="18" t="s">
        <v>50</v>
      </c>
      <c r="G6" s="21" t="s">
        <v>56</v>
      </c>
      <c r="H6" s="21"/>
    </row>
    <row r="7" spans="1:8" ht="30" customHeight="1">
      <c r="A7" s="19" t="s">
        <v>52</v>
      </c>
      <c r="B7" s="19" t="s">
        <v>53</v>
      </c>
      <c r="C7" s="20" t="s">
        <v>57</v>
      </c>
      <c r="D7" s="21" t="s">
        <v>58</v>
      </c>
      <c r="E7" s="22">
        <v>1</v>
      </c>
      <c r="F7" s="18" t="s">
        <v>59</v>
      </c>
      <c r="G7" s="21" t="s">
        <v>60</v>
      </c>
      <c r="H7" s="21"/>
    </row>
    <row r="8" spans="1:8" ht="30" customHeight="1">
      <c r="A8" s="14" t="s">
        <v>52</v>
      </c>
      <c r="B8" s="14" t="s">
        <v>53</v>
      </c>
      <c r="C8" s="15" t="s">
        <v>61</v>
      </c>
      <c r="D8" s="16" t="s">
        <v>62</v>
      </c>
      <c r="E8" s="22">
        <v>1</v>
      </c>
      <c r="F8" s="18" t="s">
        <v>50</v>
      </c>
      <c r="G8" s="16" t="s">
        <v>63</v>
      </c>
      <c r="H8" s="16"/>
    </row>
    <row r="9" spans="1:8" ht="30" customHeight="1">
      <c r="A9" s="19" t="s">
        <v>52</v>
      </c>
      <c r="B9" s="19" t="s">
        <v>53</v>
      </c>
      <c r="C9" s="20" t="s">
        <v>64</v>
      </c>
      <c r="D9" s="21" t="s">
        <v>65</v>
      </c>
      <c r="E9" s="22">
        <v>1</v>
      </c>
      <c r="F9" s="18" t="s">
        <v>50</v>
      </c>
      <c r="G9" s="21" t="s">
        <v>66</v>
      </c>
      <c r="H9" s="16" t="s">
        <v>67</v>
      </c>
    </row>
    <row r="10" spans="1:8" ht="30" customHeight="1">
      <c r="A10" s="14" t="s">
        <v>52</v>
      </c>
      <c r="B10" s="14" t="s">
        <v>53</v>
      </c>
      <c r="C10" s="15" t="s">
        <v>68</v>
      </c>
      <c r="D10" s="16" t="s">
        <v>69</v>
      </c>
      <c r="E10" s="22">
        <v>1</v>
      </c>
      <c r="F10" s="18" t="s">
        <v>59</v>
      </c>
      <c r="G10" s="16" t="s">
        <v>70</v>
      </c>
      <c r="H10" s="16"/>
    </row>
    <row r="11" spans="1:8" ht="30" customHeight="1">
      <c r="A11" s="19" t="s">
        <v>52</v>
      </c>
      <c r="B11" s="19" t="s">
        <v>53</v>
      </c>
      <c r="C11" s="20" t="s">
        <v>71</v>
      </c>
      <c r="D11" s="21" t="s">
        <v>72</v>
      </c>
      <c r="E11" s="17">
        <v>2</v>
      </c>
      <c r="F11" s="18" t="s">
        <v>59</v>
      </c>
      <c r="G11" s="21" t="s">
        <v>73</v>
      </c>
      <c r="H11" s="21"/>
    </row>
    <row r="12" spans="1:8" ht="30" customHeight="1">
      <c r="A12" s="14" t="s">
        <v>52</v>
      </c>
      <c r="B12" s="14" t="s">
        <v>53</v>
      </c>
      <c r="C12" s="15" t="s">
        <v>74</v>
      </c>
      <c r="D12" s="16" t="s">
        <v>75</v>
      </c>
      <c r="E12" s="17">
        <v>2</v>
      </c>
      <c r="F12" s="18" t="s">
        <v>59</v>
      </c>
      <c r="G12" s="16" t="s">
        <v>76</v>
      </c>
      <c r="H12" s="16"/>
    </row>
    <row r="13" spans="1:8" ht="30" customHeight="1">
      <c r="A13" s="19" t="s">
        <v>52</v>
      </c>
      <c r="B13" s="19" t="s">
        <v>53</v>
      </c>
      <c r="C13" s="20" t="s">
        <v>77</v>
      </c>
      <c r="D13" s="21" t="s">
        <v>78</v>
      </c>
      <c r="E13" s="17">
        <v>2</v>
      </c>
      <c r="F13" s="18" t="s">
        <v>59</v>
      </c>
      <c r="G13" t="s">
        <v>79</v>
      </c>
      <c r="H13" s="21"/>
    </row>
    <row r="14" spans="1:8" ht="30" customHeight="1">
      <c r="A14" s="14" t="s">
        <v>52</v>
      </c>
      <c r="B14" s="14" t="s">
        <v>53</v>
      </c>
      <c r="C14" s="15" t="s">
        <v>80</v>
      </c>
      <c r="D14" s="16" t="s">
        <v>81</v>
      </c>
      <c r="E14" s="17">
        <v>2</v>
      </c>
      <c r="F14" s="18" t="s">
        <v>59</v>
      </c>
      <c r="G14" s="16" t="s">
        <v>82</v>
      </c>
      <c r="H14" s="16"/>
    </row>
    <row r="15" spans="1:8" ht="30" customHeight="1">
      <c r="A15" s="19" t="s">
        <v>52</v>
      </c>
      <c r="B15" s="19" t="s">
        <v>53</v>
      </c>
      <c r="C15" s="20" t="s">
        <v>83</v>
      </c>
      <c r="D15" s="21" t="s">
        <v>84</v>
      </c>
      <c r="E15" s="23">
        <v>3</v>
      </c>
      <c r="F15" s="18" t="s">
        <v>59</v>
      </c>
      <c r="G15" s="21" t="s">
        <v>85</v>
      </c>
      <c r="H15" s="21"/>
    </row>
    <row r="16" spans="1:8" ht="18" customHeight="1">
      <c r="A16" s="13" t="s">
        <v>86</v>
      </c>
      <c r="B16" s="13" t="s">
        <v>87</v>
      </c>
      <c r="C16" s="13"/>
      <c r="D16" s="13"/>
      <c r="E16" s="13"/>
      <c r="F16" s="13"/>
      <c r="G16" s="13"/>
      <c r="H16" s="13"/>
    </row>
    <row r="17" spans="1:8" ht="30" customHeight="1">
      <c r="A17" s="14" t="s">
        <v>86</v>
      </c>
      <c r="B17" s="14" t="s">
        <v>87</v>
      </c>
      <c r="C17" s="15" t="s">
        <v>88</v>
      </c>
      <c r="D17" s="16" t="s">
        <v>89</v>
      </c>
      <c r="E17" s="22">
        <v>1</v>
      </c>
      <c r="F17" s="18" t="s">
        <v>59</v>
      </c>
      <c r="G17" s="16" t="s">
        <v>90</v>
      </c>
      <c r="H17" s="16"/>
    </row>
    <row r="18" spans="1:8" ht="30" customHeight="1">
      <c r="A18" s="19" t="s">
        <v>86</v>
      </c>
      <c r="B18" s="19" t="s">
        <v>87</v>
      </c>
      <c r="C18" s="20" t="s">
        <v>91</v>
      </c>
      <c r="D18" s="21" t="s">
        <v>92</v>
      </c>
      <c r="E18" s="22">
        <v>1</v>
      </c>
      <c r="F18" s="18" t="s">
        <v>50</v>
      </c>
      <c r="G18" s="21" t="s">
        <v>93</v>
      </c>
      <c r="H18" s="21"/>
    </row>
    <row r="19" spans="1:8" ht="30" customHeight="1">
      <c r="A19" s="14" t="s">
        <v>86</v>
      </c>
      <c r="B19" s="14" t="s">
        <v>87</v>
      </c>
      <c r="C19" s="15" t="s">
        <v>94</v>
      </c>
      <c r="D19" s="16" t="s">
        <v>95</v>
      </c>
      <c r="E19" s="17">
        <v>2</v>
      </c>
      <c r="F19" s="18" t="s">
        <v>45</v>
      </c>
      <c r="G19" s="16" t="s">
        <v>96</v>
      </c>
      <c r="H19" s="16" t="s">
        <v>97</v>
      </c>
    </row>
    <row r="20" spans="1:8" ht="30" customHeight="1">
      <c r="A20" s="19" t="s">
        <v>86</v>
      </c>
      <c r="B20" s="19" t="s">
        <v>87</v>
      </c>
      <c r="C20" s="20" t="s">
        <v>98</v>
      </c>
      <c r="D20" s="21" t="s">
        <v>99</v>
      </c>
      <c r="E20" s="17">
        <v>2</v>
      </c>
      <c r="F20" s="18" t="s">
        <v>59</v>
      </c>
      <c r="G20" s="21" t="s">
        <v>100</v>
      </c>
      <c r="H20" s="21"/>
    </row>
    <row r="21" spans="1:8" ht="30" customHeight="1">
      <c r="A21" s="14" t="s">
        <v>86</v>
      </c>
      <c r="B21" s="14" t="s">
        <v>87</v>
      </c>
      <c r="C21" s="15" t="s">
        <v>101</v>
      </c>
      <c r="D21" s="16" t="s">
        <v>102</v>
      </c>
      <c r="E21" s="17">
        <v>2</v>
      </c>
      <c r="F21" s="18" t="s">
        <v>59</v>
      </c>
      <c r="G21" s="16" t="s">
        <v>103</v>
      </c>
      <c r="H21" s="16"/>
    </row>
    <row r="22" spans="1:8" ht="30" customHeight="1">
      <c r="A22" s="19" t="s">
        <v>86</v>
      </c>
      <c r="B22" s="19" t="s">
        <v>87</v>
      </c>
      <c r="C22" s="20" t="s">
        <v>104</v>
      </c>
      <c r="D22" s="21" t="s">
        <v>105</v>
      </c>
      <c r="E22" s="17">
        <v>2</v>
      </c>
      <c r="F22" s="18" t="s">
        <v>45</v>
      </c>
      <c r="G22" s="21" t="s">
        <v>106</v>
      </c>
      <c r="H22" s="21" t="s">
        <v>107</v>
      </c>
    </row>
    <row r="23" spans="1:8" ht="30" customHeight="1">
      <c r="A23" s="14" t="s">
        <v>86</v>
      </c>
      <c r="B23" s="14" t="s">
        <v>87</v>
      </c>
      <c r="C23" s="15" t="s">
        <v>108</v>
      </c>
      <c r="D23" s="16" t="s">
        <v>109</v>
      </c>
      <c r="E23" s="17">
        <v>2</v>
      </c>
      <c r="F23" s="18" t="s">
        <v>59</v>
      </c>
      <c r="G23" s="16" t="s">
        <v>110</v>
      </c>
      <c r="H23" s="16"/>
    </row>
    <row r="24" spans="1:8" ht="30" customHeight="1">
      <c r="A24" s="19" t="s">
        <v>86</v>
      </c>
      <c r="B24" s="19" t="s">
        <v>87</v>
      </c>
      <c r="C24" s="20" t="s">
        <v>111</v>
      </c>
      <c r="D24" s="21" t="s">
        <v>112</v>
      </c>
      <c r="E24" s="17">
        <v>2</v>
      </c>
      <c r="F24" s="18" t="s">
        <v>59</v>
      </c>
      <c r="G24" s="21" t="s">
        <v>113</v>
      </c>
      <c r="H24" s="21"/>
    </row>
    <row r="25" spans="1:8" ht="30" customHeight="1">
      <c r="A25" s="14" t="s">
        <v>86</v>
      </c>
      <c r="B25" s="14" t="s">
        <v>87</v>
      </c>
      <c r="C25" s="15" t="s">
        <v>114</v>
      </c>
      <c r="D25" s="16" t="s">
        <v>115</v>
      </c>
      <c r="E25" s="17">
        <v>2</v>
      </c>
      <c r="F25" s="18" t="s">
        <v>59</v>
      </c>
      <c r="G25" s="16" t="s">
        <v>116</v>
      </c>
      <c r="H25" s="16"/>
    </row>
    <row r="26" spans="1:8" ht="30" customHeight="1">
      <c r="A26" s="19" t="s">
        <v>86</v>
      </c>
      <c r="B26" s="19" t="s">
        <v>87</v>
      </c>
      <c r="C26" s="20" t="s">
        <v>117</v>
      </c>
      <c r="D26" s="21" t="s">
        <v>118</v>
      </c>
      <c r="E26" s="17">
        <v>2</v>
      </c>
      <c r="F26" s="18" t="s">
        <v>59</v>
      </c>
      <c r="G26" s="21" t="s">
        <v>119</v>
      </c>
      <c r="H26" s="21"/>
    </row>
    <row r="27" spans="1:8" ht="30" customHeight="1">
      <c r="A27" s="14" t="s">
        <v>86</v>
      </c>
      <c r="B27" s="14" t="s">
        <v>87</v>
      </c>
      <c r="C27" s="15" t="s">
        <v>120</v>
      </c>
      <c r="D27" s="16" t="s">
        <v>121</v>
      </c>
      <c r="E27" s="17">
        <v>2</v>
      </c>
      <c r="F27" s="18" t="s">
        <v>45</v>
      </c>
      <c r="G27" s="16" t="s">
        <v>122</v>
      </c>
      <c r="H27" s="16" t="s">
        <v>107</v>
      </c>
    </row>
    <row r="28" spans="1:8" ht="30" customHeight="1">
      <c r="A28" s="19" t="s">
        <v>86</v>
      </c>
      <c r="B28" s="19" t="s">
        <v>87</v>
      </c>
      <c r="C28" s="20" t="s">
        <v>123</v>
      </c>
      <c r="D28" s="21" t="s">
        <v>124</v>
      </c>
      <c r="E28" s="23">
        <v>3</v>
      </c>
      <c r="F28" s="18" t="s">
        <v>59</v>
      </c>
      <c r="G28" s="21" t="s">
        <v>125</v>
      </c>
      <c r="H28" s="21"/>
    </row>
    <row r="29" spans="1:8" ht="18" customHeight="1">
      <c r="A29" s="13" t="s">
        <v>126</v>
      </c>
      <c r="B29" s="13" t="s">
        <v>127</v>
      </c>
      <c r="C29" s="13"/>
      <c r="D29" s="13"/>
      <c r="E29" s="13"/>
      <c r="F29" s="13"/>
      <c r="G29" s="13"/>
      <c r="H29" s="13"/>
    </row>
    <row r="30" spans="1:8" ht="30" customHeight="1">
      <c r="A30" s="14" t="s">
        <v>126</v>
      </c>
      <c r="B30" s="14" t="s">
        <v>127</v>
      </c>
      <c r="C30" s="15" t="s">
        <v>128</v>
      </c>
      <c r="D30" s="16" t="s">
        <v>129</v>
      </c>
      <c r="E30" s="17">
        <v>2</v>
      </c>
      <c r="F30" s="18" t="s">
        <v>59</v>
      </c>
      <c r="G30" s="16" t="s">
        <v>130</v>
      </c>
      <c r="H30" s="16"/>
    </row>
    <row r="31" spans="1:8" ht="30" customHeight="1">
      <c r="A31" s="19" t="s">
        <v>126</v>
      </c>
      <c r="B31" s="19" t="s">
        <v>127</v>
      </c>
      <c r="C31" s="20" t="s">
        <v>131</v>
      </c>
      <c r="D31" s="21" t="s">
        <v>132</v>
      </c>
      <c r="E31" s="17">
        <v>2</v>
      </c>
      <c r="F31" s="18" t="s">
        <v>45</v>
      </c>
      <c r="G31" s="21" t="s">
        <v>133</v>
      </c>
      <c r="H31" s="21" t="s">
        <v>134</v>
      </c>
    </row>
    <row r="32" spans="1:8" ht="30" customHeight="1">
      <c r="A32" s="14" t="s">
        <v>126</v>
      </c>
      <c r="B32" s="14" t="s">
        <v>127</v>
      </c>
      <c r="C32" s="15" t="s">
        <v>135</v>
      </c>
      <c r="D32" s="16" t="s">
        <v>136</v>
      </c>
      <c r="E32" s="17">
        <v>2</v>
      </c>
      <c r="F32" s="18" t="s">
        <v>59</v>
      </c>
      <c r="G32" s="16" t="s">
        <v>137</v>
      </c>
      <c r="H32" s="16"/>
    </row>
    <row r="33" spans="1:8" ht="18" customHeight="1">
      <c r="A33" s="13" t="s">
        <v>138</v>
      </c>
      <c r="B33" s="13" t="s">
        <v>139</v>
      </c>
      <c r="C33" s="13"/>
      <c r="D33" s="13"/>
      <c r="E33" s="13"/>
      <c r="F33" s="13"/>
      <c r="G33" s="13"/>
      <c r="H33" s="13"/>
    </row>
    <row r="34" spans="1:8" ht="30" customHeight="1">
      <c r="A34" s="14" t="s">
        <v>138</v>
      </c>
      <c r="B34" s="14" t="s">
        <v>139</v>
      </c>
      <c r="C34" s="15" t="s">
        <v>140</v>
      </c>
      <c r="D34" s="16" t="s">
        <v>141</v>
      </c>
      <c r="E34" s="22">
        <v>1</v>
      </c>
      <c r="F34" s="18" t="s">
        <v>59</v>
      </c>
      <c r="G34" s="16" t="s">
        <v>142</v>
      </c>
      <c r="H34" s="16"/>
    </row>
    <row r="35" spans="1:8" ht="30" customHeight="1">
      <c r="A35" s="19" t="s">
        <v>138</v>
      </c>
      <c r="B35" s="19" t="s">
        <v>139</v>
      </c>
      <c r="C35" s="20" t="s">
        <v>143</v>
      </c>
      <c r="D35" s="21" t="s">
        <v>144</v>
      </c>
      <c r="E35" s="17">
        <v>2</v>
      </c>
      <c r="F35" s="18" t="s">
        <v>45</v>
      </c>
      <c r="G35" s="21" t="s">
        <v>145</v>
      </c>
      <c r="H35" s="21" t="s">
        <v>146</v>
      </c>
    </row>
    <row r="36" spans="1:8" ht="30" customHeight="1">
      <c r="A36" s="14" t="s">
        <v>138</v>
      </c>
      <c r="B36" s="14" t="s">
        <v>139</v>
      </c>
      <c r="C36" s="15" t="s">
        <v>147</v>
      </c>
      <c r="D36" s="16" t="s">
        <v>148</v>
      </c>
      <c r="E36" s="23">
        <v>3</v>
      </c>
      <c r="F36" s="18" t="s">
        <v>59</v>
      </c>
      <c r="G36" s="16" t="s">
        <v>149</v>
      </c>
      <c r="H36" s="16"/>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6" xr:uid="{00000000-0002-0000-0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8"/>
  <sheetViews>
    <sheetView zoomScale="75" zoomScaleNormal="75" workbookViewId="0">
      <pane ySplit="1" topLeftCell="A2" activePane="bottomLeft" state="frozen"/>
      <selection pane="bottomLeft" activeCell="H7" sqref="H7"/>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88" bestFit="1" customWidth="1"/>
    <col min="8" max="8" width="61.140625" bestFit="1" customWidth="1"/>
  </cols>
  <sheetData>
    <row r="1" spans="1:8" ht="27.95" customHeight="1">
      <c r="A1" s="12" t="s">
        <v>33</v>
      </c>
      <c r="B1" s="12" t="s">
        <v>34</v>
      </c>
      <c r="C1" s="12" t="s">
        <v>35</v>
      </c>
      <c r="D1" s="12" t="s">
        <v>36</v>
      </c>
      <c r="E1" s="12" t="s">
        <v>37</v>
      </c>
      <c r="F1" s="12" t="s">
        <v>38</v>
      </c>
      <c r="G1" s="12" t="s">
        <v>39</v>
      </c>
      <c r="H1" s="12" t="s">
        <v>40</v>
      </c>
    </row>
    <row r="2" spans="1:8" ht="18" customHeight="1">
      <c r="A2" s="13" t="s">
        <v>150</v>
      </c>
      <c r="B2" s="13" t="s">
        <v>151</v>
      </c>
      <c r="C2" s="13"/>
      <c r="D2" s="13"/>
      <c r="E2" s="13"/>
      <c r="F2" s="13"/>
      <c r="G2" s="13"/>
      <c r="H2" s="13"/>
    </row>
    <row r="3" spans="1:8" ht="30" customHeight="1">
      <c r="A3" s="14" t="s">
        <v>150</v>
      </c>
      <c r="B3" s="14" t="s">
        <v>151</v>
      </c>
      <c r="C3" s="15" t="s">
        <v>152</v>
      </c>
      <c r="D3" s="16" t="s">
        <v>153</v>
      </c>
      <c r="E3" s="22">
        <v>1</v>
      </c>
      <c r="F3" s="18" t="s">
        <v>50</v>
      </c>
      <c r="G3" s="16" t="s">
        <v>154</v>
      </c>
      <c r="H3" s="16" t="s">
        <v>134</v>
      </c>
    </row>
    <row r="4" spans="1:8" ht="30" customHeight="1">
      <c r="A4" s="19" t="s">
        <v>150</v>
      </c>
      <c r="B4" s="19" t="s">
        <v>151</v>
      </c>
      <c r="C4" s="20" t="s">
        <v>155</v>
      </c>
      <c r="D4" s="21" t="s">
        <v>156</v>
      </c>
      <c r="E4" s="17">
        <v>2</v>
      </c>
      <c r="F4" s="18" t="s">
        <v>45</v>
      </c>
      <c r="G4" s="21" t="s">
        <v>157</v>
      </c>
      <c r="H4" s="21" t="s">
        <v>158</v>
      </c>
    </row>
    <row r="5" spans="1:8" ht="30" customHeight="1">
      <c r="A5" s="14" t="s">
        <v>150</v>
      </c>
      <c r="B5" s="14" t="s">
        <v>151</v>
      </c>
      <c r="C5" s="15" t="s">
        <v>159</v>
      </c>
      <c r="D5" s="16" t="s">
        <v>160</v>
      </c>
      <c r="E5" s="17">
        <v>2</v>
      </c>
      <c r="F5" s="18" t="s">
        <v>50</v>
      </c>
      <c r="G5" s="16" t="s">
        <v>161</v>
      </c>
      <c r="H5" s="16" t="s">
        <v>162</v>
      </c>
    </row>
    <row r="6" spans="1:8" ht="18" customHeight="1">
      <c r="A6" s="13" t="s">
        <v>163</v>
      </c>
      <c r="B6" s="13" t="s">
        <v>164</v>
      </c>
      <c r="C6" s="13"/>
      <c r="D6" s="13"/>
      <c r="E6" s="13"/>
      <c r="F6" s="13"/>
      <c r="G6" s="13"/>
      <c r="H6" s="13"/>
    </row>
    <row r="7" spans="1:8" ht="30" customHeight="1">
      <c r="A7" s="14" t="s">
        <v>163</v>
      </c>
      <c r="B7" s="14" t="s">
        <v>164</v>
      </c>
      <c r="C7" s="15" t="s">
        <v>165</v>
      </c>
      <c r="D7" s="16" t="s">
        <v>166</v>
      </c>
      <c r="E7" s="22">
        <v>1</v>
      </c>
      <c r="F7" s="18" t="s">
        <v>50</v>
      </c>
      <c r="G7" s="16" t="s">
        <v>167</v>
      </c>
      <c r="H7" s="16" t="s">
        <v>168</v>
      </c>
    </row>
    <row r="8" spans="1:8" ht="30" customHeight="1">
      <c r="A8" s="19" t="s">
        <v>163</v>
      </c>
      <c r="B8" s="19" t="s">
        <v>164</v>
      </c>
      <c r="C8" s="20" t="s">
        <v>169</v>
      </c>
      <c r="D8" s="21" t="s">
        <v>170</v>
      </c>
      <c r="E8" s="22">
        <v>1</v>
      </c>
      <c r="F8" s="18" t="s">
        <v>50</v>
      </c>
      <c r="G8" s="21" t="s">
        <v>171</v>
      </c>
      <c r="H8" s="21" t="s">
        <v>172</v>
      </c>
    </row>
    <row r="9" spans="1:8" ht="30" customHeight="1">
      <c r="A9" s="14" t="s">
        <v>163</v>
      </c>
      <c r="B9" s="14" t="s">
        <v>164</v>
      </c>
      <c r="C9" s="15" t="s">
        <v>173</v>
      </c>
      <c r="D9" s="16" t="s">
        <v>174</v>
      </c>
      <c r="E9" s="17">
        <v>2</v>
      </c>
      <c r="F9" s="18" t="s">
        <v>45</v>
      </c>
      <c r="G9" s="16" t="s">
        <v>175</v>
      </c>
      <c r="H9" s="16" t="s">
        <v>176</v>
      </c>
    </row>
    <row r="10" spans="1:8" ht="18" customHeight="1">
      <c r="A10" s="13" t="s">
        <v>177</v>
      </c>
      <c r="B10" s="13" t="s">
        <v>178</v>
      </c>
      <c r="C10" s="13"/>
      <c r="D10" s="13"/>
      <c r="E10" s="13"/>
      <c r="F10" s="13"/>
      <c r="G10" s="13"/>
      <c r="H10" s="13"/>
    </row>
    <row r="11" spans="1:8" ht="30" customHeight="1">
      <c r="A11" s="14" t="s">
        <v>177</v>
      </c>
      <c r="B11" s="14" t="s">
        <v>178</v>
      </c>
      <c r="C11" s="15" t="s">
        <v>179</v>
      </c>
      <c r="D11" s="16" t="s">
        <v>180</v>
      </c>
      <c r="E11" s="22">
        <v>1</v>
      </c>
      <c r="F11" s="18" t="s">
        <v>50</v>
      </c>
      <c r="G11" s="16" t="s">
        <v>181</v>
      </c>
      <c r="H11" s="16" t="s">
        <v>182</v>
      </c>
    </row>
    <row r="12" spans="1:8" ht="30" customHeight="1">
      <c r="A12" s="19" t="s">
        <v>177</v>
      </c>
      <c r="B12" s="19" t="s">
        <v>178</v>
      </c>
      <c r="C12" s="20" t="s">
        <v>183</v>
      </c>
      <c r="D12" s="21" t="s">
        <v>184</v>
      </c>
      <c r="E12" s="17">
        <v>2</v>
      </c>
      <c r="F12" s="18" t="s">
        <v>50</v>
      </c>
      <c r="G12" s="21" t="s">
        <v>185</v>
      </c>
      <c r="H12" s="21" t="s">
        <v>186</v>
      </c>
    </row>
    <row r="13" spans="1:8" ht="30" customHeight="1">
      <c r="A13" s="14" t="s">
        <v>177</v>
      </c>
      <c r="B13" s="14" t="s">
        <v>178</v>
      </c>
      <c r="C13" s="15" t="s">
        <v>187</v>
      </c>
      <c r="D13" s="16" t="s">
        <v>188</v>
      </c>
      <c r="E13" s="17">
        <v>2</v>
      </c>
      <c r="F13" s="18" t="s">
        <v>189</v>
      </c>
      <c r="G13" s="16" t="s">
        <v>190</v>
      </c>
      <c r="H13" s="16"/>
    </row>
    <row r="14" spans="1:8" ht="30" customHeight="1">
      <c r="A14" s="19" t="s">
        <v>177</v>
      </c>
      <c r="B14" s="19" t="s">
        <v>178</v>
      </c>
      <c r="C14" s="20" t="s">
        <v>191</v>
      </c>
      <c r="D14" s="21" t="s">
        <v>192</v>
      </c>
      <c r="E14" s="17">
        <v>2</v>
      </c>
      <c r="F14" s="18" t="s">
        <v>50</v>
      </c>
      <c r="G14" s="21" t="s">
        <v>193</v>
      </c>
      <c r="H14" s="21" t="s">
        <v>194</v>
      </c>
    </row>
    <row r="15" spans="1:8" ht="30" customHeight="1">
      <c r="A15" s="14" t="s">
        <v>177</v>
      </c>
      <c r="B15" s="14" t="s">
        <v>178</v>
      </c>
      <c r="C15" s="15" t="s">
        <v>195</v>
      </c>
      <c r="D15" s="16" t="s">
        <v>196</v>
      </c>
      <c r="E15" s="23">
        <v>3</v>
      </c>
      <c r="F15" s="18" t="s">
        <v>45</v>
      </c>
      <c r="G15" s="16" t="s">
        <v>197</v>
      </c>
      <c r="H15" s="16" t="s">
        <v>198</v>
      </c>
    </row>
    <row r="16" spans="1:8" ht="18" customHeight="1">
      <c r="A16" s="13" t="s">
        <v>199</v>
      </c>
      <c r="B16" s="13" t="s">
        <v>200</v>
      </c>
      <c r="C16" s="13"/>
      <c r="D16" s="13"/>
      <c r="E16" s="13"/>
      <c r="F16" s="13"/>
      <c r="G16" s="13"/>
      <c r="H16" s="13"/>
    </row>
    <row r="17" spans="1:8" ht="30" customHeight="1">
      <c r="A17" s="14" t="s">
        <v>199</v>
      </c>
      <c r="B17" s="14" t="s">
        <v>200</v>
      </c>
      <c r="C17" s="15" t="s">
        <v>201</v>
      </c>
      <c r="D17" s="16" t="s">
        <v>202</v>
      </c>
      <c r="E17" s="17">
        <v>2</v>
      </c>
      <c r="F17" s="18" t="s">
        <v>50</v>
      </c>
      <c r="G17" s="16" t="s">
        <v>203</v>
      </c>
      <c r="H17" s="16" t="s">
        <v>204</v>
      </c>
    </row>
    <row r="18" spans="1:8" ht="30" customHeight="1">
      <c r="A18" s="19" t="s">
        <v>199</v>
      </c>
      <c r="B18" s="19" t="s">
        <v>200</v>
      </c>
      <c r="C18" s="20" t="s">
        <v>205</v>
      </c>
      <c r="D18" s="21" t="s">
        <v>206</v>
      </c>
      <c r="E18" s="23">
        <v>3</v>
      </c>
      <c r="F18" s="18" t="s">
        <v>45</v>
      </c>
      <c r="G18" s="21" t="s">
        <v>207</v>
      </c>
      <c r="H18" s="21" t="s">
        <v>208</v>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2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9"/>
  <sheetViews>
    <sheetView zoomScale="75" zoomScaleNormal="75" workbookViewId="0">
      <pane ySplit="1" topLeftCell="A2" activePane="bottomLeft" state="frozen"/>
      <selection pane="bottomLeft" activeCell="G17" sqref="G17"/>
    </sheetView>
  </sheetViews>
  <sheetFormatPr defaultColWidth="8.5703125" defaultRowHeight="15"/>
  <cols>
    <col min="1" max="1" width="12" customWidth="1"/>
    <col min="2" max="2" width="28" customWidth="1"/>
    <col min="3" max="3" width="12" customWidth="1"/>
    <col min="4" max="4" width="142" customWidth="1"/>
    <col min="5" max="5" width="8" customWidth="1"/>
    <col min="6" max="6" width="16" customWidth="1"/>
    <col min="7" max="7" width="60.85546875" bestFit="1" customWidth="1"/>
    <col min="8" max="8" width="35" customWidth="1"/>
  </cols>
  <sheetData>
    <row r="1" spans="1:8" ht="27.95" customHeight="1">
      <c r="A1" s="38" t="s">
        <v>33</v>
      </c>
      <c r="B1" s="39" t="s">
        <v>34</v>
      </c>
      <c r="C1" s="39" t="s">
        <v>35</v>
      </c>
      <c r="D1" s="39" t="s">
        <v>36</v>
      </c>
      <c r="E1" s="39" t="s">
        <v>37</v>
      </c>
      <c r="F1" s="39" t="s">
        <v>38</v>
      </c>
      <c r="G1" s="39" t="s">
        <v>39</v>
      </c>
      <c r="H1" s="40" t="s">
        <v>40</v>
      </c>
    </row>
    <row r="2" spans="1:8" ht="18" customHeight="1">
      <c r="A2" s="32" t="s">
        <v>209</v>
      </c>
      <c r="B2" s="13" t="s">
        <v>210</v>
      </c>
      <c r="C2" s="13"/>
      <c r="D2" s="13"/>
      <c r="E2" s="13"/>
      <c r="F2" s="13"/>
      <c r="G2" s="13"/>
      <c r="H2" s="35"/>
    </row>
    <row r="3" spans="1:8" ht="30" hidden="1" customHeight="1">
      <c r="A3" s="33" t="s">
        <v>209</v>
      </c>
      <c r="B3" s="14" t="s">
        <v>210</v>
      </c>
      <c r="C3" s="15" t="s">
        <v>211</v>
      </c>
      <c r="D3" s="16" t="s">
        <v>212</v>
      </c>
      <c r="E3" s="23">
        <v>3</v>
      </c>
      <c r="F3" s="18" t="s">
        <v>189</v>
      </c>
      <c r="G3" s="16" t="s">
        <v>213</v>
      </c>
      <c r="H3" s="36"/>
    </row>
    <row r="4" spans="1:8" ht="18" customHeight="1">
      <c r="A4" s="32" t="s">
        <v>214</v>
      </c>
      <c r="B4" s="13" t="s">
        <v>215</v>
      </c>
      <c r="C4" s="13"/>
      <c r="D4" s="24"/>
      <c r="E4" s="13"/>
      <c r="F4" s="13"/>
      <c r="G4" s="13"/>
      <c r="H4" s="35"/>
    </row>
    <row r="5" spans="1:8" ht="75">
      <c r="A5" s="33" t="s">
        <v>214</v>
      </c>
      <c r="B5" s="14" t="s">
        <v>215</v>
      </c>
      <c r="C5" s="15" t="s">
        <v>216</v>
      </c>
      <c r="D5" s="16" t="s">
        <v>217</v>
      </c>
      <c r="E5" s="22">
        <v>1</v>
      </c>
      <c r="F5" s="18" t="s">
        <v>50</v>
      </c>
      <c r="G5" s="16" t="s">
        <v>218</v>
      </c>
      <c r="H5" s="36" t="s">
        <v>219</v>
      </c>
    </row>
    <row r="6" spans="1:8" ht="45">
      <c r="A6" s="34" t="s">
        <v>214</v>
      </c>
      <c r="B6" s="19" t="s">
        <v>215</v>
      </c>
      <c r="C6" s="20" t="s">
        <v>220</v>
      </c>
      <c r="D6" s="21" t="s">
        <v>221</v>
      </c>
      <c r="E6" s="22">
        <v>1</v>
      </c>
      <c r="F6" s="18" t="s">
        <v>59</v>
      </c>
      <c r="G6" s="21" t="s">
        <v>222</v>
      </c>
      <c r="H6" s="37"/>
    </row>
    <row r="7" spans="1:8" ht="30">
      <c r="A7" s="33" t="s">
        <v>214</v>
      </c>
      <c r="B7" s="14" t="s">
        <v>215</v>
      </c>
      <c r="C7" s="15" t="s">
        <v>223</v>
      </c>
      <c r="D7" s="16" t="s">
        <v>224</v>
      </c>
      <c r="E7" s="23">
        <v>3</v>
      </c>
      <c r="F7" s="18" t="s">
        <v>59</v>
      </c>
      <c r="G7" s="16" t="s">
        <v>225</v>
      </c>
      <c r="H7" s="36"/>
    </row>
    <row r="8" spans="1:8">
      <c r="A8" s="32" t="s">
        <v>226</v>
      </c>
      <c r="B8" s="13" t="s">
        <v>227</v>
      </c>
      <c r="C8" s="13"/>
      <c r="D8" s="24"/>
      <c r="E8" s="13"/>
      <c r="F8" s="13"/>
      <c r="G8" s="13"/>
      <c r="H8" s="35"/>
    </row>
    <row r="9" spans="1:8" ht="30" hidden="1" customHeight="1">
      <c r="A9" s="33" t="s">
        <v>226</v>
      </c>
      <c r="B9" s="14" t="s">
        <v>227</v>
      </c>
      <c r="C9" s="15" t="s">
        <v>228</v>
      </c>
      <c r="D9" s="16" t="s">
        <v>229</v>
      </c>
      <c r="E9" s="22">
        <v>1</v>
      </c>
      <c r="F9" s="18" t="s">
        <v>59</v>
      </c>
      <c r="G9" s="16" t="s">
        <v>230</v>
      </c>
      <c r="H9" s="36"/>
    </row>
    <row r="10" spans="1:8" ht="30" hidden="1" customHeight="1">
      <c r="A10" s="34" t="s">
        <v>226</v>
      </c>
      <c r="B10" s="19" t="s">
        <v>227</v>
      </c>
      <c r="C10" s="20" t="s">
        <v>231</v>
      </c>
      <c r="D10" s="21" t="s">
        <v>232</v>
      </c>
      <c r="E10" s="17">
        <v>2</v>
      </c>
      <c r="F10" s="18" t="s">
        <v>59</v>
      </c>
      <c r="G10" s="21" t="s">
        <v>233</v>
      </c>
      <c r="H10" s="37"/>
    </row>
    <row r="11" spans="1:8" ht="30" hidden="1" customHeight="1">
      <c r="A11" s="33" t="s">
        <v>226</v>
      </c>
      <c r="B11" s="14" t="s">
        <v>227</v>
      </c>
      <c r="C11" s="15" t="s">
        <v>234</v>
      </c>
      <c r="D11" s="16" t="s">
        <v>235</v>
      </c>
      <c r="E11" s="17">
        <v>2</v>
      </c>
      <c r="F11" s="18" t="s">
        <v>59</v>
      </c>
      <c r="G11" s="16" t="s">
        <v>236</v>
      </c>
      <c r="H11" s="36"/>
    </row>
    <row r="12" spans="1:8" ht="30" hidden="1" customHeight="1">
      <c r="A12" s="34" t="s">
        <v>226</v>
      </c>
      <c r="B12" s="19" t="s">
        <v>227</v>
      </c>
      <c r="C12" s="20" t="s">
        <v>237</v>
      </c>
      <c r="D12" s="21" t="s">
        <v>238</v>
      </c>
      <c r="E12" s="17">
        <v>2</v>
      </c>
      <c r="F12" s="18" t="s">
        <v>59</v>
      </c>
      <c r="G12" s="21" t="s">
        <v>239</v>
      </c>
      <c r="H12" s="37"/>
    </row>
    <row r="13" spans="1:8" ht="30" hidden="1" customHeight="1">
      <c r="A13" s="33" t="s">
        <v>226</v>
      </c>
      <c r="B13" s="14" t="s">
        <v>227</v>
      </c>
      <c r="C13" s="15" t="s">
        <v>240</v>
      </c>
      <c r="D13" s="16" t="s">
        <v>241</v>
      </c>
      <c r="E13" s="23">
        <v>3</v>
      </c>
      <c r="F13" s="18" t="s">
        <v>59</v>
      </c>
      <c r="G13" s="16" t="s">
        <v>242</v>
      </c>
      <c r="H13" s="36"/>
    </row>
    <row r="14" spans="1:8" ht="18" customHeight="1">
      <c r="A14" s="32" t="s">
        <v>243</v>
      </c>
      <c r="B14" s="13" t="s">
        <v>244</v>
      </c>
      <c r="C14" s="13"/>
      <c r="D14" s="24"/>
      <c r="E14" s="13"/>
      <c r="F14" s="13"/>
      <c r="G14" s="13"/>
      <c r="H14" s="35"/>
    </row>
    <row r="15" spans="1:8" ht="45">
      <c r="A15" s="33" t="s">
        <v>243</v>
      </c>
      <c r="B15" s="14" t="s">
        <v>244</v>
      </c>
      <c r="C15" s="15" t="s">
        <v>245</v>
      </c>
      <c r="D15" s="16" t="s">
        <v>246</v>
      </c>
      <c r="E15" s="22">
        <v>1</v>
      </c>
      <c r="F15" s="18" t="s">
        <v>50</v>
      </c>
      <c r="G15" s="16" t="s">
        <v>247</v>
      </c>
      <c r="H15" s="36" t="s">
        <v>219</v>
      </c>
    </row>
    <row r="16" spans="1:8" ht="75">
      <c r="A16" s="34" t="s">
        <v>243</v>
      </c>
      <c r="B16" s="19" t="s">
        <v>244</v>
      </c>
      <c r="C16" s="20" t="s">
        <v>248</v>
      </c>
      <c r="D16" s="21" t="s">
        <v>249</v>
      </c>
      <c r="E16" s="22">
        <v>1</v>
      </c>
      <c r="F16" s="18" t="s">
        <v>50</v>
      </c>
      <c r="G16" s="21" t="s">
        <v>250</v>
      </c>
      <c r="H16" s="37"/>
    </row>
    <row r="17" spans="1:8" ht="60">
      <c r="A17" s="33" t="s">
        <v>243</v>
      </c>
      <c r="B17" s="14" t="s">
        <v>244</v>
      </c>
      <c r="C17" s="15" t="s">
        <v>251</v>
      </c>
      <c r="D17" s="16" t="s">
        <v>252</v>
      </c>
      <c r="E17" s="17">
        <v>2</v>
      </c>
      <c r="F17" s="18" t="s">
        <v>50</v>
      </c>
      <c r="G17" s="16" t="s">
        <v>253</v>
      </c>
      <c r="H17" s="36"/>
    </row>
    <row r="18" spans="1:8" ht="60">
      <c r="A18" s="34" t="s">
        <v>243</v>
      </c>
      <c r="B18" s="19" t="s">
        <v>244</v>
      </c>
      <c r="C18" s="20" t="s">
        <v>254</v>
      </c>
      <c r="D18" s="21" t="s">
        <v>255</v>
      </c>
      <c r="E18" s="17">
        <v>2</v>
      </c>
      <c r="F18" s="18" t="s">
        <v>50</v>
      </c>
      <c r="G18" s="21" t="s">
        <v>256</v>
      </c>
      <c r="H18" s="37"/>
    </row>
    <row r="19" spans="1:8" ht="45">
      <c r="A19" s="33" t="s">
        <v>243</v>
      </c>
      <c r="B19" s="14" t="s">
        <v>244</v>
      </c>
      <c r="C19" s="15" t="s">
        <v>257</v>
      </c>
      <c r="D19" s="16" t="s">
        <v>258</v>
      </c>
      <c r="E19" s="17">
        <v>2</v>
      </c>
      <c r="F19" s="18" t="s">
        <v>50</v>
      </c>
      <c r="G19" s="16" t="s">
        <v>259</v>
      </c>
      <c r="H19" s="36"/>
    </row>
    <row r="20" spans="1:8" ht="45">
      <c r="A20" s="34" t="s">
        <v>243</v>
      </c>
      <c r="B20" s="19" t="s">
        <v>244</v>
      </c>
      <c r="C20" s="20" t="s">
        <v>260</v>
      </c>
      <c r="D20" s="21" t="s">
        <v>261</v>
      </c>
      <c r="E20" s="17">
        <v>2</v>
      </c>
      <c r="F20" s="18" t="s">
        <v>50</v>
      </c>
      <c r="G20" s="21" t="s">
        <v>262</v>
      </c>
      <c r="H20" s="37"/>
    </row>
    <row r="21" spans="1:8" ht="30">
      <c r="A21" s="33" t="s">
        <v>243</v>
      </c>
      <c r="B21" s="14" t="s">
        <v>244</v>
      </c>
      <c r="C21" s="15" t="s">
        <v>263</v>
      </c>
      <c r="D21" s="16" t="s">
        <v>264</v>
      </c>
      <c r="E21" s="23">
        <v>3</v>
      </c>
      <c r="F21" s="18" t="s">
        <v>189</v>
      </c>
      <c r="G21" s="16" t="s">
        <v>265</v>
      </c>
      <c r="H21" s="36"/>
    </row>
    <row r="22" spans="1:8" ht="45">
      <c r="A22" s="34" t="s">
        <v>243</v>
      </c>
      <c r="B22" s="19" t="s">
        <v>244</v>
      </c>
      <c r="C22" s="20" t="s">
        <v>266</v>
      </c>
      <c r="D22" s="21" t="s">
        <v>267</v>
      </c>
      <c r="E22" s="23">
        <v>3</v>
      </c>
      <c r="F22" s="18" t="s">
        <v>189</v>
      </c>
      <c r="G22" s="21" t="s">
        <v>268</v>
      </c>
      <c r="H22" s="37"/>
    </row>
    <row r="23" spans="1:8">
      <c r="A23" s="32" t="s">
        <v>269</v>
      </c>
      <c r="B23" s="13" t="s">
        <v>270</v>
      </c>
      <c r="C23" s="13"/>
      <c r="D23" s="24"/>
      <c r="E23" s="13"/>
      <c r="F23" s="13"/>
      <c r="G23" s="13"/>
      <c r="H23" s="35"/>
    </row>
    <row r="24" spans="1:8" ht="90">
      <c r="A24" s="33" t="s">
        <v>269</v>
      </c>
      <c r="B24" s="14" t="s">
        <v>270</v>
      </c>
      <c r="C24" s="15" t="s">
        <v>271</v>
      </c>
      <c r="D24" s="16" t="s">
        <v>272</v>
      </c>
      <c r="E24" s="22">
        <v>1</v>
      </c>
      <c r="F24" s="18" t="s">
        <v>50</v>
      </c>
      <c r="G24" s="16" t="s">
        <v>273</v>
      </c>
      <c r="H24" s="36" t="s">
        <v>274</v>
      </c>
    </row>
    <row r="25" spans="1:8" ht="60">
      <c r="A25" s="34" t="s">
        <v>269</v>
      </c>
      <c r="B25" s="19" t="s">
        <v>270</v>
      </c>
      <c r="C25" s="20" t="s">
        <v>275</v>
      </c>
      <c r="D25" s="21" t="s">
        <v>276</v>
      </c>
      <c r="E25" s="22">
        <v>1</v>
      </c>
      <c r="F25" s="18" t="s">
        <v>50</v>
      </c>
      <c r="G25" s="21" t="s">
        <v>277</v>
      </c>
      <c r="H25" s="37"/>
    </row>
    <row r="26" spans="1:8" ht="60">
      <c r="A26" s="33" t="s">
        <v>269</v>
      </c>
      <c r="B26" s="14" t="s">
        <v>270</v>
      </c>
      <c r="C26" s="15" t="s">
        <v>278</v>
      </c>
      <c r="D26" s="16" t="s">
        <v>279</v>
      </c>
      <c r="E26" s="22">
        <v>1</v>
      </c>
      <c r="F26" s="18" t="s">
        <v>50</v>
      </c>
      <c r="G26" s="16" t="s">
        <v>280</v>
      </c>
      <c r="H26" s="36" t="s">
        <v>281</v>
      </c>
    </row>
    <row r="27" spans="1:8" ht="30" hidden="1" customHeight="1">
      <c r="A27" s="34" t="s">
        <v>269</v>
      </c>
      <c r="B27" s="19" t="s">
        <v>270</v>
      </c>
      <c r="C27" s="20" t="s">
        <v>282</v>
      </c>
      <c r="D27" s="21" t="s">
        <v>283</v>
      </c>
      <c r="E27" s="17">
        <v>2</v>
      </c>
      <c r="F27" s="18" t="s">
        <v>59</v>
      </c>
      <c r="G27" s="21" t="s">
        <v>284</v>
      </c>
      <c r="H27" s="37"/>
    </row>
    <row r="28" spans="1:8" ht="30" hidden="1" customHeight="1">
      <c r="A28" s="33" t="s">
        <v>269</v>
      </c>
      <c r="B28" s="14" t="s">
        <v>270</v>
      </c>
      <c r="C28" s="15" t="s">
        <v>285</v>
      </c>
      <c r="D28" s="16" t="s">
        <v>286</v>
      </c>
      <c r="E28" s="17">
        <v>2</v>
      </c>
      <c r="F28" s="18" t="s">
        <v>59</v>
      </c>
      <c r="G28" s="16" t="s">
        <v>287</v>
      </c>
      <c r="H28" s="36"/>
    </row>
    <row r="29" spans="1:8" ht="30" hidden="1" customHeight="1">
      <c r="A29" s="34" t="s">
        <v>269</v>
      </c>
      <c r="B29" s="19" t="s">
        <v>270</v>
      </c>
      <c r="C29" s="20" t="s">
        <v>288</v>
      </c>
      <c r="D29" s="21" t="s">
        <v>289</v>
      </c>
      <c r="E29" s="23">
        <v>3</v>
      </c>
      <c r="F29" s="18" t="s">
        <v>59</v>
      </c>
      <c r="G29" s="21" t="s">
        <v>290</v>
      </c>
      <c r="H29" s="37"/>
    </row>
    <row r="30" spans="1:8" ht="30" hidden="1" customHeight="1">
      <c r="A30" s="33" t="s">
        <v>269</v>
      </c>
      <c r="B30" s="14" t="s">
        <v>270</v>
      </c>
      <c r="C30" s="15" t="s">
        <v>291</v>
      </c>
      <c r="D30" s="16" t="s">
        <v>292</v>
      </c>
      <c r="E30" s="23">
        <v>3</v>
      </c>
      <c r="F30" s="18" t="s">
        <v>59</v>
      </c>
      <c r="G30" s="16" t="s">
        <v>293</v>
      </c>
      <c r="H30" s="36"/>
    </row>
    <row r="31" spans="1:8" ht="30" hidden="1" customHeight="1">
      <c r="A31" s="34" t="s">
        <v>269</v>
      </c>
      <c r="B31" s="19" t="s">
        <v>270</v>
      </c>
      <c r="C31" s="20" t="s">
        <v>294</v>
      </c>
      <c r="D31" s="21" t="s">
        <v>295</v>
      </c>
      <c r="E31" s="23">
        <v>3</v>
      </c>
      <c r="F31" s="18" t="s">
        <v>59</v>
      </c>
      <c r="G31" s="21" t="s">
        <v>296</v>
      </c>
      <c r="H31" s="37"/>
    </row>
    <row r="32" spans="1:8" ht="18" customHeight="1">
      <c r="A32" s="32" t="s">
        <v>297</v>
      </c>
      <c r="B32" s="13" t="s">
        <v>298</v>
      </c>
      <c r="C32" s="13"/>
      <c r="D32" s="24"/>
      <c r="E32" s="13"/>
      <c r="F32" s="13"/>
      <c r="G32" s="13"/>
      <c r="H32" s="35"/>
    </row>
    <row r="33" spans="1:8" ht="30" hidden="1" customHeight="1">
      <c r="A33" s="33" t="s">
        <v>297</v>
      </c>
      <c r="B33" s="14" t="s">
        <v>298</v>
      </c>
      <c r="C33" s="15" t="s">
        <v>299</v>
      </c>
      <c r="D33" s="16" t="s">
        <v>300</v>
      </c>
      <c r="E33" s="23">
        <v>3</v>
      </c>
      <c r="F33" s="18" t="s">
        <v>59</v>
      </c>
      <c r="G33" s="16" t="s">
        <v>301</v>
      </c>
      <c r="H33" s="36"/>
    </row>
    <row r="34" spans="1:8" ht="18" customHeight="1">
      <c r="A34" s="32" t="s">
        <v>302</v>
      </c>
      <c r="B34" s="13" t="s">
        <v>303</v>
      </c>
      <c r="C34" s="13"/>
      <c r="D34" s="24"/>
      <c r="E34" s="13"/>
      <c r="F34" s="13"/>
      <c r="G34" s="13"/>
      <c r="H34" s="35"/>
    </row>
    <row r="35" spans="1:8" ht="30" hidden="1" customHeight="1">
      <c r="A35" s="33" t="s">
        <v>302</v>
      </c>
      <c r="B35" s="14" t="s">
        <v>303</v>
      </c>
      <c r="C35" s="15" t="s">
        <v>304</v>
      </c>
      <c r="D35" s="16" t="s">
        <v>305</v>
      </c>
      <c r="E35" s="17">
        <v>2</v>
      </c>
      <c r="F35" s="18" t="s">
        <v>59</v>
      </c>
      <c r="G35" s="16" t="s">
        <v>306</v>
      </c>
      <c r="H35" s="36"/>
    </row>
    <row r="36" spans="1:8" ht="30" hidden="1" customHeight="1">
      <c r="A36" s="34" t="s">
        <v>302</v>
      </c>
      <c r="B36" s="19" t="s">
        <v>303</v>
      </c>
      <c r="C36" s="20" t="s">
        <v>307</v>
      </c>
      <c r="D36" s="21" t="s">
        <v>308</v>
      </c>
      <c r="E36" s="17">
        <v>2</v>
      </c>
      <c r="F36" s="18" t="s">
        <v>59</v>
      </c>
      <c r="G36" s="21" t="s">
        <v>309</v>
      </c>
      <c r="H36" s="37"/>
    </row>
    <row r="37" spans="1:8" ht="30" hidden="1" customHeight="1">
      <c r="A37" s="33" t="s">
        <v>302</v>
      </c>
      <c r="B37" s="14" t="s">
        <v>303</v>
      </c>
      <c r="C37" s="15" t="s">
        <v>310</v>
      </c>
      <c r="D37" s="16" t="s">
        <v>311</v>
      </c>
      <c r="E37" s="23">
        <v>3</v>
      </c>
      <c r="F37" s="18" t="s">
        <v>59</v>
      </c>
      <c r="G37" s="16" t="s">
        <v>312</v>
      </c>
      <c r="H37" s="36"/>
    </row>
    <row r="38" spans="1:8" ht="30" hidden="1" customHeight="1">
      <c r="A38" s="34" t="s">
        <v>302</v>
      </c>
      <c r="B38" s="19" t="s">
        <v>303</v>
      </c>
      <c r="C38" s="20" t="s">
        <v>313</v>
      </c>
      <c r="D38" s="21" t="s">
        <v>314</v>
      </c>
      <c r="E38" s="23">
        <v>3</v>
      </c>
      <c r="F38" s="18" t="s">
        <v>189</v>
      </c>
      <c r="G38" s="21" t="s">
        <v>315</v>
      </c>
      <c r="H38" s="37"/>
    </row>
    <row r="39" spans="1:8" ht="30" hidden="1" customHeight="1">
      <c r="A39" s="41" t="s">
        <v>302</v>
      </c>
      <c r="B39" s="42" t="s">
        <v>303</v>
      </c>
      <c r="C39" s="43" t="s">
        <v>316</v>
      </c>
      <c r="D39" s="44" t="s">
        <v>317</v>
      </c>
      <c r="E39" s="45">
        <v>3</v>
      </c>
      <c r="F39" s="46" t="s">
        <v>59</v>
      </c>
      <c r="G39" s="44" t="s">
        <v>318</v>
      </c>
      <c r="H39" s="47"/>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disablePrompts="1" count="1">
    <dataValidation type="list" allowBlank="1" sqref="F2:F1039" xr:uid="{00000000-0002-0000-03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1"/>
  <sheetViews>
    <sheetView zoomScale="75" zoomScaleNormal="75" workbookViewId="0">
      <pane ySplit="1" topLeftCell="A2" activePane="bottomLeft" state="frozen"/>
      <selection pane="bottomLeft" activeCell="G8" sqref="G8"/>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319</v>
      </c>
      <c r="B2" s="13" t="s">
        <v>320</v>
      </c>
      <c r="C2" s="13"/>
      <c r="D2" s="13"/>
      <c r="E2" s="13"/>
      <c r="F2" s="13"/>
      <c r="G2" s="13"/>
      <c r="H2" s="13"/>
    </row>
    <row r="3" spans="1:8" ht="30" customHeight="1">
      <c r="A3" s="14" t="s">
        <v>319</v>
      </c>
      <c r="B3" s="14" t="s">
        <v>320</v>
      </c>
      <c r="C3" s="15" t="s">
        <v>321</v>
      </c>
      <c r="D3" s="16" t="s">
        <v>322</v>
      </c>
      <c r="E3" s="22">
        <v>1</v>
      </c>
      <c r="F3" s="18" t="s">
        <v>50</v>
      </c>
      <c r="G3" s="16"/>
      <c r="H3" s="16" t="s">
        <v>172</v>
      </c>
    </row>
    <row r="4" spans="1:8" ht="30" customHeight="1">
      <c r="A4" s="19" t="s">
        <v>319</v>
      </c>
      <c r="B4" s="19" t="s">
        <v>320</v>
      </c>
      <c r="C4" s="20" t="s">
        <v>323</v>
      </c>
      <c r="D4" s="21" t="s">
        <v>324</v>
      </c>
      <c r="E4" s="17">
        <v>2</v>
      </c>
      <c r="F4" s="18" t="s">
        <v>45</v>
      </c>
      <c r="G4" s="21"/>
      <c r="H4" s="21"/>
    </row>
    <row r="5" spans="1:8" ht="30" customHeight="1">
      <c r="A5" s="14" t="s">
        <v>319</v>
      </c>
      <c r="B5" s="14" t="s">
        <v>320</v>
      </c>
      <c r="C5" s="15" t="s">
        <v>325</v>
      </c>
      <c r="D5" s="16" t="s">
        <v>326</v>
      </c>
      <c r="E5" s="17">
        <v>2</v>
      </c>
      <c r="F5" s="18" t="s">
        <v>50</v>
      </c>
      <c r="G5" s="16"/>
      <c r="H5" s="16" t="s">
        <v>327</v>
      </c>
    </row>
    <row r="6" spans="1:8" ht="30" customHeight="1">
      <c r="A6" s="19" t="s">
        <v>319</v>
      </c>
      <c r="B6" s="19" t="s">
        <v>320</v>
      </c>
      <c r="C6" s="20" t="s">
        <v>328</v>
      </c>
      <c r="D6" s="21" t="s">
        <v>329</v>
      </c>
      <c r="E6" s="23">
        <v>3</v>
      </c>
      <c r="F6" s="18" t="s">
        <v>50</v>
      </c>
      <c r="G6" s="21"/>
      <c r="H6" s="21" t="s">
        <v>330</v>
      </c>
    </row>
    <row r="7" spans="1:8" ht="30" customHeight="1">
      <c r="A7" s="14" t="s">
        <v>319</v>
      </c>
      <c r="B7" s="14" t="s">
        <v>320</v>
      </c>
      <c r="C7" s="15" t="s">
        <v>331</v>
      </c>
      <c r="D7" s="16" t="s">
        <v>332</v>
      </c>
      <c r="E7" s="23">
        <v>3</v>
      </c>
      <c r="F7" s="18" t="s">
        <v>59</v>
      </c>
      <c r="G7" s="16" t="s">
        <v>333</v>
      </c>
      <c r="H7" s="16"/>
    </row>
    <row r="8" spans="1:8" ht="18" customHeight="1">
      <c r="A8" s="13" t="s">
        <v>334</v>
      </c>
      <c r="B8" s="13" t="s">
        <v>335</v>
      </c>
      <c r="C8" s="13"/>
      <c r="D8" s="13"/>
      <c r="E8" s="13"/>
      <c r="F8" s="13"/>
      <c r="G8" s="13"/>
      <c r="H8" s="13"/>
    </row>
    <row r="9" spans="1:8" ht="30" customHeight="1">
      <c r="A9" s="14" t="s">
        <v>334</v>
      </c>
      <c r="B9" s="14" t="s">
        <v>335</v>
      </c>
      <c r="C9" s="15" t="s">
        <v>336</v>
      </c>
      <c r="D9" s="16" t="s">
        <v>337</v>
      </c>
      <c r="E9" s="17">
        <v>2</v>
      </c>
      <c r="F9" s="18" t="s">
        <v>50</v>
      </c>
      <c r="G9" s="16"/>
      <c r="H9" s="16" t="s">
        <v>219</v>
      </c>
    </row>
    <row r="10" spans="1:8" ht="30" customHeight="1">
      <c r="A10" s="19" t="s">
        <v>334</v>
      </c>
      <c r="B10" s="19" t="s">
        <v>335</v>
      </c>
      <c r="C10" s="20" t="s">
        <v>338</v>
      </c>
      <c r="D10" s="21" t="s">
        <v>339</v>
      </c>
      <c r="E10" s="23">
        <v>3</v>
      </c>
      <c r="F10" s="18" t="s">
        <v>50</v>
      </c>
      <c r="G10" s="21"/>
      <c r="H10" s="21" t="s">
        <v>172</v>
      </c>
    </row>
    <row r="11" spans="1:8" ht="30" customHeight="1">
      <c r="A11" s="14" t="s">
        <v>334</v>
      </c>
      <c r="B11" s="14" t="s">
        <v>335</v>
      </c>
      <c r="C11" s="15" t="s">
        <v>340</v>
      </c>
      <c r="D11" s="16" t="s">
        <v>341</v>
      </c>
      <c r="E11" s="23">
        <v>3</v>
      </c>
      <c r="F11" s="18" t="s">
        <v>50</v>
      </c>
      <c r="G11" s="16" t="s">
        <v>342</v>
      </c>
      <c r="H11" s="16"/>
    </row>
    <row r="12" spans="1:8" ht="30" customHeight="1">
      <c r="A12" s="19" t="s">
        <v>334</v>
      </c>
      <c r="B12" s="19" t="s">
        <v>335</v>
      </c>
      <c r="C12" s="20" t="s">
        <v>343</v>
      </c>
      <c r="D12" s="21" t="s">
        <v>344</v>
      </c>
      <c r="E12" s="23">
        <v>3</v>
      </c>
      <c r="F12" s="18" t="s">
        <v>50</v>
      </c>
      <c r="G12" s="21"/>
      <c r="H12" s="21" t="s">
        <v>345</v>
      </c>
    </row>
    <row r="13" spans="1:8" ht="30" customHeight="1">
      <c r="A13" s="14" t="s">
        <v>334</v>
      </c>
      <c r="B13" s="14" t="s">
        <v>335</v>
      </c>
      <c r="C13" s="15" t="s">
        <v>346</v>
      </c>
      <c r="D13" s="16" t="s">
        <v>347</v>
      </c>
      <c r="E13" s="23">
        <v>3</v>
      </c>
      <c r="F13" s="18" t="s">
        <v>50</v>
      </c>
      <c r="G13" s="16"/>
      <c r="H13" s="16" t="s">
        <v>348</v>
      </c>
    </row>
    <row r="14" spans="1:8" ht="18" customHeight="1">
      <c r="A14" s="13" t="s">
        <v>349</v>
      </c>
      <c r="B14" s="13" t="s">
        <v>350</v>
      </c>
      <c r="C14" s="13"/>
      <c r="D14" s="13"/>
      <c r="E14" s="13"/>
      <c r="F14" s="13"/>
      <c r="G14" s="13"/>
      <c r="H14" s="13"/>
    </row>
    <row r="15" spans="1:8" ht="30" customHeight="1">
      <c r="A15" s="14" t="s">
        <v>349</v>
      </c>
      <c r="B15" s="14" t="s">
        <v>350</v>
      </c>
      <c r="C15" s="15" t="s">
        <v>351</v>
      </c>
      <c r="D15" s="16" t="s">
        <v>352</v>
      </c>
      <c r="E15" s="17">
        <v>2</v>
      </c>
      <c r="F15" s="18" t="s">
        <v>59</v>
      </c>
      <c r="G15" s="16" t="s">
        <v>353</v>
      </c>
      <c r="H15" s="16"/>
    </row>
    <row r="16" spans="1:8" ht="30" customHeight="1">
      <c r="A16" s="19" t="s">
        <v>349</v>
      </c>
      <c r="B16" s="19" t="s">
        <v>350</v>
      </c>
      <c r="C16" s="20" t="s">
        <v>354</v>
      </c>
      <c r="D16" s="21" t="s">
        <v>355</v>
      </c>
      <c r="E16" s="17">
        <v>2</v>
      </c>
      <c r="F16" s="18" t="s">
        <v>59</v>
      </c>
      <c r="G16" s="21" t="s">
        <v>353</v>
      </c>
      <c r="H16" s="21"/>
    </row>
    <row r="17" spans="1:8" ht="18" customHeight="1">
      <c r="A17" s="13" t="s">
        <v>356</v>
      </c>
      <c r="B17" s="13" t="s">
        <v>357</v>
      </c>
      <c r="C17" s="13"/>
      <c r="D17" s="13"/>
      <c r="E17" s="13"/>
      <c r="F17" s="13"/>
      <c r="G17" s="13"/>
      <c r="H17" s="13"/>
    </row>
    <row r="18" spans="1:8" ht="30" customHeight="1">
      <c r="A18" s="14" t="s">
        <v>356</v>
      </c>
      <c r="B18" s="14" t="s">
        <v>357</v>
      </c>
      <c r="C18" s="15" t="s">
        <v>358</v>
      </c>
      <c r="D18" s="16" t="s">
        <v>359</v>
      </c>
      <c r="E18" s="22">
        <v>1</v>
      </c>
      <c r="F18" s="18" t="s">
        <v>59</v>
      </c>
      <c r="G18" s="16" t="s">
        <v>360</v>
      </c>
      <c r="H18" s="16"/>
    </row>
    <row r="19" spans="1:8" ht="30" customHeight="1">
      <c r="A19" s="19" t="s">
        <v>356</v>
      </c>
      <c r="B19" s="19" t="s">
        <v>357</v>
      </c>
      <c r="C19" s="20" t="s">
        <v>361</v>
      </c>
      <c r="D19" s="21" t="s">
        <v>362</v>
      </c>
      <c r="E19" s="17">
        <v>2</v>
      </c>
      <c r="F19" s="18" t="s">
        <v>59</v>
      </c>
      <c r="G19" s="21" t="s">
        <v>363</v>
      </c>
      <c r="H19" s="21"/>
    </row>
    <row r="20" spans="1:8" ht="30" customHeight="1">
      <c r="A20" s="14" t="s">
        <v>356</v>
      </c>
      <c r="B20" s="14" t="s">
        <v>357</v>
      </c>
      <c r="C20" s="15" t="s">
        <v>364</v>
      </c>
      <c r="D20" s="16" t="s">
        <v>365</v>
      </c>
      <c r="E20" s="17">
        <v>2</v>
      </c>
      <c r="F20" s="18" t="s">
        <v>59</v>
      </c>
      <c r="G20" s="16" t="s">
        <v>366</v>
      </c>
      <c r="H20" s="16"/>
    </row>
    <row r="21" spans="1:8" ht="30" customHeight="1">
      <c r="A21" s="19" t="s">
        <v>356</v>
      </c>
      <c r="B21" s="19" t="s">
        <v>357</v>
      </c>
      <c r="C21" s="20" t="s">
        <v>367</v>
      </c>
      <c r="D21" s="21" t="s">
        <v>368</v>
      </c>
      <c r="E21" s="17">
        <v>2</v>
      </c>
      <c r="F21" s="18" t="s">
        <v>59</v>
      </c>
      <c r="G21" s="21" t="s">
        <v>369</v>
      </c>
      <c r="H21" s="21"/>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1" xr:uid="{00000000-0002-0000-04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8"/>
  <sheetViews>
    <sheetView zoomScale="75" zoomScaleNormal="75" workbookViewId="0">
      <pane ySplit="1" topLeftCell="A10" activePane="bottomLeft" state="frozen"/>
      <selection pane="bottomLeft" activeCell="F16" sqref="F16"/>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370</v>
      </c>
      <c r="B2" s="13" t="s">
        <v>371</v>
      </c>
      <c r="C2" s="13"/>
      <c r="D2" s="13"/>
      <c r="E2" s="13"/>
      <c r="F2" s="13"/>
      <c r="G2" s="13"/>
      <c r="H2" s="13"/>
    </row>
    <row r="3" spans="1:8" ht="30" customHeight="1">
      <c r="A3" s="14" t="s">
        <v>370</v>
      </c>
      <c r="B3" s="14" t="s">
        <v>371</v>
      </c>
      <c r="C3" s="15" t="s">
        <v>372</v>
      </c>
      <c r="D3" s="16" t="s">
        <v>373</v>
      </c>
      <c r="E3" s="17">
        <v>2</v>
      </c>
      <c r="F3" s="18" t="s">
        <v>50</v>
      </c>
      <c r="G3" s="16"/>
      <c r="H3" s="16"/>
    </row>
    <row r="4" spans="1:8" ht="18" customHeight="1">
      <c r="A4" s="13" t="s">
        <v>374</v>
      </c>
      <c r="B4" s="13" t="s">
        <v>375</v>
      </c>
      <c r="C4" s="13"/>
      <c r="D4" s="13"/>
      <c r="E4" s="13"/>
      <c r="F4" s="13"/>
      <c r="G4" s="13"/>
      <c r="H4" s="13"/>
    </row>
    <row r="5" spans="1:8" ht="30" customHeight="1">
      <c r="A5" s="14" t="s">
        <v>374</v>
      </c>
      <c r="B5" s="14" t="s">
        <v>375</v>
      </c>
      <c r="C5" s="15" t="s">
        <v>376</v>
      </c>
      <c r="D5" s="16" t="s">
        <v>377</v>
      </c>
      <c r="E5" s="22">
        <v>1</v>
      </c>
      <c r="F5" s="18" t="s">
        <v>50</v>
      </c>
      <c r="G5" s="16"/>
      <c r="H5" s="16"/>
    </row>
    <row r="6" spans="1:8" ht="30" customHeight="1">
      <c r="A6" s="19" t="s">
        <v>374</v>
      </c>
      <c r="B6" s="19" t="s">
        <v>375</v>
      </c>
      <c r="C6" s="20" t="s">
        <v>378</v>
      </c>
      <c r="D6" s="21" t="s">
        <v>379</v>
      </c>
      <c r="E6" s="22">
        <v>1</v>
      </c>
      <c r="F6" s="18" t="s">
        <v>50</v>
      </c>
      <c r="G6" s="21"/>
      <c r="H6" s="21"/>
    </row>
    <row r="7" spans="1:8" ht="30" customHeight="1">
      <c r="A7" s="14" t="s">
        <v>374</v>
      </c>
      <c r="B7" s="14" t="s">
        <v>375</v>
      </c>
      <c r="C7" s="15" t="s">
        <v>380</v>
      </c>
      <c r="D7" s="16" t="s">
        <v>381</v>
      </c>
      <c r="E7" s="17">
        <v>2</v>
      </c>
      <c r="F7" s="18" t="s">
        <v>59</v>
      </c>
      <c r="G7" s="16" t="s">
        <v>382</v>
      </c>
      <c r="H7" s="16"/>
    </row>
    <row r="8" spans="1:8" ht="30" customHeight="1">
      <c r="A8" s="19" t="s">
        <v>374</v>
      </c>
      <c r="B8" s="19" t="s">
        <v>375</v>
      </c>
      <c r="C8" s="20" t="s">
        <v>383</v>
      </c>
      <c r="D8" s="21" t="s">
        <v>384</v>
      </c>
      <c r="E8" s="23">
        <v>3</v>
      </c>
      <c r="F8" s="18" t="s">
        <v>50</v>
      </c>
      <c r="G8" s="21"/>
      <c r="H8" s="21"/>
    </row>
    <row r="9" spans="1:8" ht="30" customHeight="1">
      <c r="A9" s="14" t="s">
        <v>374</v>
      </c>
      <c r="B9" s="14" t="s">
        <v>375</v>
      </c>
      <c r="C9" s="15" t="s">
        <v>385</v>
      </c>
      <c r="D9" s="16" t="s">
        <v>386</v>
      </c>
      <c r="E9" s="23">
        <v>3</v>
      </c>
      <c r="F9" s="18" t="s">
        <v>59</v>
      </c>
      <c r="G9" s="16" t="s">
        <v>382</v>
      </c>
      <c r="H9" s="16"/>
    </row>
    <row r="10" spans="1:8" ht="30" customHeight="1">
      <c r="A10" s="19" t="s">
        <v>374</v>
      </c>
      <c r="B10" s="19" t="s">
        <v>375</v>
      </c>
      <c r="C10" s="20" t="s">
        <v>387</v>
      </c>
      <c r="D10" s="21" t="s">
        <v>388</v>
      </c>
      <c r="E10" s="23">
        <v>3</v>
      </c>
      <c r="F10" s="18" t="s">
        <v>50</v>
      </c>
      <c r="G10" s="21"/>
      <c r="H10" s="21"/>
    </row>
    <row r="11" spans="1:8" ht="18" customHeight="1">
      <c r="A11" s="13" t="s">
        <v>389</v>
      </c>
      <c r="B11" s="13" t="s">
        <v>390</v>
      </c>
      <c r="C11" s="13"/>
      <c r="D11" s="13"/>
      <c r="E11" s="13"/>
      <c r="F11" s="13"/>
      <c r="G11" s="13"/>
      <c r="H11" s="13"/>
    </row>
    <row r="12" spans="1:8" ht="30" customHeight="1">
      <c r="A12" s="14" t="s">
        <v>389</v>
      </c>
      <c r="B12" s="14" t="s">
        <v>390</v>
      </c>
      <c r="C12" s="15" t="s">
        <v>391</v>
      </c>
      <c r="D12" s="16" t="s">
        <v>392</v>
      </c>
      <c r="E12" s="22">
        <v>1</v>
      </c>
      <c r="F12" s="18" t="s">
        <v>189</v>
      </c>
      <c r="G12" s="16"/>
      <c r="H12" s="16"/>
    </row>
    <row r="13" spans="1:8" ht="30" customHeight="1">
      <c r="A13" s="19" t="s">
        <v>389</v>
      </c>
      <c r="B13" s="19" t="s">
        <v>390</v>
      </c>
      <c r="C13" s="20" t="s">
        <v>393</v>
      </c>
      <c r="D13" s="21" t="s">
        <v>394</v>
      </c>
      <c r="E13" s="22">
        <v>1</v>
      </c>
      <c r="F13" s="18" t="s">
        <v>50</v>
      </c>
      <c r="G13" s="21"/>
      <c r="H13" s="21"/>
    </row>
    <row r="14" spans="1:8" ht="30" customHeight="1">
      <c r="A14" s="14" t="s">
        <v>389</v>
      </c>
      <c r="B14" s="14" t="s">
        <v>390</v>
      </c>
      <c r="C14" s="15" t="s">
        <v>395</v>
      </c>
      <c r="D14" s="16" t="s">
        <v>396</v>
      </c>
      <c r="E14" s="23">
        <v>3</v>
      </c>
      <c r="F14" s="18" t="s">
        <v>189</v>
      </c>
      <c r="G14" s="16"/>
      <c r="H14" s="16"/>
    </row>
    <row r="15" spans="1:8" ht="18" customHeight="1">
      <c r="A15" s="13" t="s">
        <v>397</v>
      </c>
      <c r="B15" s="13" t="s">
        <v>398</v>
      </c>
      <c r="C15" s="13"/>
      <c r="D15" s="13"/>
      <c r="E15" s="13"/>
      <c r="F15" s="13"/>
      <c r="G15" s="13"/>
      <c r="H15" s="13"/>
    </row>
    <row r="16" spans="1:8" ht="30" customHeight="1">
      <c r="A16" s="14" t="s">
        <v>397</v>
      </c>
      <c r="B16" s="14" t="s">
        <v>398</v>
      </c>
      <c r="C16" s="15" t="s">
        <v>399</v>
      </c>
      <c r="D16" s="16" t="s">
        <v>400</v>
      </c>
      <c r="E16" s="17">
        <v>2</v>
      </c>
      <c r="F16" s="18" t="s">
        <v>50</v>
      </c>
      <c r="G16" s="16"/>
      <c r="H16" s="16"/>
    </row>
    <row r="17" spans="1:8" ht="30" customHeight="1">
      <c r="A17" s="19" t="s">
        <v>397</v>
      </c>
      <c r="B17" s="19" t="s">
        <v>398</v>
      </c>
      <c r="C17" s="20" t="s">
        <v>401</v>
      </c>
      <c r="D17" s="21" t="s">
        <v>402</v>
      </c>
      <c r="E17" s="17">
        <v>2</v>
      </c>
      <c r="F17" s="18" t="s">
        <v>189</v>
      </c>
      <c r="G17" s="21"/>
      <c r="H17" s="21"/>
    </row>
    <row r="18" spans="1:8" ht="30" customHeight="1">
      <c r="A18" s="14" t="s">
        <v>397</v>
      </c>
      <c r="B18" s="14" t="s">
        <v>398</v>
      </c>
      <c r="C18" s="15" t="s">
        <v>403</v>
      </c>
      <c r="D18" s="16" t="s">
        <v>404</v>
      </c>
      <c r="E18" s="17">
        <v>2</v>
      </c>
      <c r="F18" s="18" t="s">
        <v>189</v>
      </c>
      <c r="G18" s="16"/>
      <c r="H18" s="16"/>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5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6"/>
  <sheetViews>
    <sheetView zoomScale="75" zoomScaleNormal="75" workbookViewId="0">
      <pane ySplit="1" topLeftCell="A41" activePane="bottomLeft" state="frozen"/>
      <selection pane="bottomLeft" activeCell="G56" sqref="G56"/>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405</v>
      </c>
      <c r="B2" s="13" t="s">
        <v>406</v>
      </c>
      <c r="C2" s="13"/>
      <c r="D2" s="13"/>
      <c r="E2" s="13"/>
      <c r="F2" s="13"/>
      <c r="G2" s="13"/>
      <c r="H2" s="13"/>
    </row>
    <row r="3" spans="1:8" ht="30" customHeight="1">
      <c r="A3" s="14" t="s">
        <v>405</v>
      </c>
      <c r="B3" s="14" t="s">
        <v>406</v>
      </c>
      <c r="C3" s="15" t="s">
        <v>407</v>
      </c>
      <c r="D3" s="16" t="s">
        <v>408</v>
      </c>
      <c r="E3" s="22">
        <v>1</v>
      </c>
      <c r="F3" s="18" t="s">
        <v>50</v>
      </c>
      <c r="G3" s="16" t="s">
        <v>409</v>
      </c>
      <c r="H3" s="16"/>
    </row>
    <row r="4" spans="1:8" ht="30" customHeight="1">
      <c r="A4" s="19" t="s">
        <v>405</v>
      </c>
      <c r="B4" s="19" t="s">
        <v>406</v>
      </c>
      <c r="C4" s="20" t="s">
        <v>410</v>
      </c>
      <c r="D4" s="21" t="s">
        <v>411</v>
      </c>
      <c r="E4" s="17">
        <v>2</v>
      </c>
      <c r="F4" s="18" t="s">
        <v>50</v>
      </c>
      <c r="G4" s="21" t="s">
        <v>412</v>
      </c>
      <c r="H4" s="21"/>
    </row>
    <row r="5" spans="1:8" ht="30" customHeight="1">
      <c r="A5" s="14" t="s">
        <v>405</v>
      </c>
      <c r="B5" s="14" t="s">
        <v>406</v>
      </c>
      <c r="C5" s="15" t="s">
        <v>413</v>
      </c>
      <c r="D5" s="16" t="s">
        <v>414</v>
      </c>
      <c r="E5" s="17">
        <v>2</v>
      </c>
      <c r="F5" s="18" t="s">
        <v>50</v>
      </c>
      <c r="G5" s="16" t="s">
        <v>415</v>
      </c>
      <c r="H5" s="16"/>
    </row>
    <row r="6" spans="1:8" ht="18" customHeight="1">
      <c r="A6" s="13" t="s">
        <v>416</v>
      </c>
      <c r="B6" s="13" t="s">
        <v>417</v>
      </c>
      <c r="C6" s="13"/>
      <c r="D6" s="13"/>
      <c r="E6" s="13"/>
      <c r="F6" s="13"/>
      <c r="G6" s="13"/>
      <c r="H6" s="13"/>
    </row>
    <row r="7" spans="1:8" ht="30" customHeight="1">
      <c r="A7" s="14" t="s">
        <v>416</v>
      </c>
      <c r="B7" s="14" t="s">
        <v>417</v>
      </c>
      <c r="C7" s="15" t="s">
        <v>418</v>
      </c>
      <c r="D7" s="16" t="s">
        <v>419</v>
      </c>
      <c r="E7" s="22">
        <v>1</v>
      </c>
      <c r="F7" s="18" t="s">
        <v>50</v>
      </c>
      <c r="G7" s="16" t="s">
        <v>420</v>
      </c>
      <c r="H7" s="16"/>
    </row>
    <row r="8" spans="1:8" ht="30" customHeight="1">
      <c r="A8" s="19" t="s">
        <v>416</v>
      </c>
      <c r="B8" s="19" t="s">
        <v>417</v>
      </c>
      <c r="C8" s="20" t="s">
        <v>421</v>
      </c>
      <c r="D8" s="21" t="s">
        <v>422</v>
      </c>
      <c r="E8" s="22">
        <v>1</v>
      </c>
      <c r="F8" s="18" t="s">
        <v>50</v>
      </c>
      <c r="G8" s="21" t="s">
        <v>423</v>
      </c>
      <c r="H8" s="21"/>
    </row>
    <row r="9" spans="1:8" ht="30" customHeight="1">
      <c r="A9" s="14" t="s">
        <v>416</v>
      </c>
      <c r="B9" s="14" t="s">
        <v>417</v>
      </c>
      <c r="C9" s="15" t="s">
        <v>424</v>
      </c>
      <c r="D9" s="16" t="s">
        <v>425</v>
      </c>
      <c r="E9" s="22">
        <v>1</v>
      </c>
      <c r="F9" s="18" t="s">
        <v>50</v>
      </c>
      <c r="G9" s="16" t="s">
        <v>426</v>
      </c>
      <c r="H9" s="16"/>
    </row>
    <row r="10" spans="1:8" ht="30" customHeight="1">
      <c r="A10" s="19" t="s">
        <v>416</v>
      </c>
      <c r="B10" s="19" t="s">
        <v>417</v>
      </c>
      <c r="C10" s="20" t="s">
        <v>427</v>
      </c>
      <c r="D10" s="21" t="s">
        <v>428</v>
      </c>
      <c r="E10" s="22">
        <v>1</v>
      </c>
      <c r="F10" s="18" t="s">
        <v>50</v>
      </c>
      <c r="G10" s="21" t="s">
        <v>429</v>
      </c>
      <c r="H10" s="21"/>
    </row>
    <row r="11" spans="1:8" ht="30" customHeight="1">
      <c r="A11" s="14" t="s">
        <v>416</v>
      </c>
      <c r="B11" s="14" t="s">
        <v>417</v>
      </c>
      <c r="C11" s="15" t="s">
        <v>430</v>
      </c>
      <c r="D11" s="16" t="s">
        <v>431</v>
      </c>
      <c r="E11" s="22">
        <v>1</v>
      </c>
      <c r="F11" s="18" t="s">
        <v>50</v>
      </c>
      <c r="G11" s="16" t="s">
        <v>432</v>
      </c>
      <c r="H11" s="16"/>
    </row>
    <row r="12" spans="1:8" ht="30" customHeight="1">
      <c r="A12" s="19" t="s">
        <v>416</v>
      </c>
      <c r="B12" s="19" t="s">
        <v>417</v>
      </c>
      <c r="C12" s="20" t="s">
        <v>433</v>
      </c>
      <c r="D12" s="21" t="s">
        <v>434</v>
      </c>
      <c r="E12" s="22">
        <v>1</v>
      </c>
      <c r="F12" s="18" t="s">
        <v>189</v>
      </c>
      <c r="G12" s="21" t="s">
        <v>435</v>
      </c>
      <c r="H12" s="21"/>
    </row>
    <row r="13" spans="1:8" ht="30" customHeight="1">
      <c r="A13" s="14" t="s">
        <v>416</v>
      </c>
      <c r="B13" s="14" t="s">
        <v>417</v>
      </c>
      <c r="C13" s="15" t="s">
        <v>436</v>
      </c>
      <c r="D13" s="16" t="s">
        <v>437</v>
      </c>
      <c r="E13" s="22">
        <v>1</v>
      </c>
      <c r="F13" s="18" t="s">
        <v>189</v>
      </c>
      <c r="G13" s="16" t="s">
        <v>435</v>
      </c>
      <c r="H13" s="16"/>
    </row>
    <row r="14" spans="1:8" ht="30" customHeight="1">
      <c r="A14" s="19" t="s">
        <v>416</v>
      </c>
      <c r="B14" s="19" t="s">
        <v>417</v>
      </c>
      <c r="C14" s="20" t="s">
        <v>438</v>
      </c>
      <c r="D14" s="21" t="s">
        <v>439</v>
      </c>
      <c r="E14" s="22">
        <v>1</v>
      </c>
      <c r="F14" s="18" t="s">
        <v>50</v>
      </c>
      <c r="G14" s="21" t="s">
        <v>440</v>
      </c>
      <c r="H14" s="21"/>
    </row>
    <row r="15" spans="1:8" ht="30" customHeight="1">
      <c r="A15" s="14" t="s">
        <v>416</v>
      </c>
      <c r="B15" s="14" t="s">
        <v>417</v>
      </c>
      <c r="C15" s="15" t="s">
        <v>441</v>
      </c>
      <c r="D15" s="16" t="s">
        <v>442</v>
      </c>
      <c r="E15" s="17">
        <v>2</v>
      </c>
      <c r="F15" s="18" t="s">
        <v>50</v>
      </c>
      <c r="G15" s="16" t="s">
        <v>443</v>
      </c>
      <c r="H15" s="16"/>
    </row>
    <row r="16" spans="1:8" ht="30" customHeight="1">
      <c r="A16" s="19" t="s">
        <v>416</v>
      </c>
      <c r="B16" s="19" t="s">
        <v>417</v>
      </c>
      <c r="C16" s="20" t="s">
        <v>444</v>
      </c>
      <c r="D16" s="21" t="s">
        <v>445</v>
      </c>
      <c r="E16" s="17">
        <v>2</v>
      </c>
      <c r="F16" s="18" t="s">
        <v>50</v>
      </c>
      <c r="G16" s="21" t="s">
        <v>446</v>
      </c>
      <c r="H16" s="21"/>
    </row>
    <row r="17" spans="1:8" ht="30" customHeight="1">
      <c r="A17" s="14" t="s">
        <v>416</v>
      </c>
      <c r="B17" s="14" t="s">
        <v>417</v>
      </c>
      <c r="C17" s="15" t="s">
        <v>447</v>
      </c>
      <c r="D17" s="16" t="s">
        <v>448</v>
      </c>
      <c r="E17" s="17">
        <v>2</v>
      </c>
      <c r="F17" s="18" t="s">
        <v>50</v>
      </c>
      <c r="G17" s="16" t="s">
        <v>449</v>
      </c>
      <c r="H17" s="16"/>
    </row>
    <row r="18" spans="1:8" ht="30" customHeight="1">
      <c r="A18" s="19" t="s">
        <v>416</v>
      </c>
      <c r="B18" s="19" t="s">
        <v>417</v>
      </c>
      <c r="C18" s="20" t="s">
        <v>450</v>
      </c>
      <c r="D18" s="21" t="s">
        <v>451</v>
      </c>
      <c r="E18" s="17">
        <v>2</v>
      </c>
      <c r="F18" s="18" t="s">
        <v>50</v>
      </c>
      <c r="G18" s="21" t="s">
        <v>452</v>
      </c>
      <c r="H18" s="21"/>
    </row>
    <row r="19" spans="1:8" ht="18" customHeight="1">
      <c r="A19" s="13" t="s">
        <v>453</v>
      </c>
      <c r="B19" s="13" t="s">
        <v>454</v>
      </c>
      <c r="C19" s="13"/>
      <c r="D19" s="13"/>
      <c r="E19" s="13"/>
      <c r="F19" s="13"/>
      <c r="G19" s="13"/>
      <c r="H19" s="13"/>
    </row>
    <row r="20" spans="1:8" ht="30" customHeight="1">
      <c r="A20" s="14" t="s">
        <v>453</v>
      </c>
      <c r="B20" s="14" t="s">
        <v>454</v>
      </c>
      <c r="C20" s="15" t="s">
        <v>455</v>
      </c>
      <c r="D20" s="16" t="s">
        <v>456</v>
      </c>
      <c r="E20" s="22">
        <v>1</v>
      </c>
      <c r="F20" s="18" t="s">
        <v>50</v>
      </c>
      <c r="G20" s="16" t="s">
        <v>457</v>
      </c>
      <c r="H20" s="16"/>
    </row>
    <row r="21" spans="1:8" ht="30" customHeight="1">
      <c r="A21" s="19" t="s">
        <v>453</v>
      </c>
      <c r="B21" s="19" t="s">
        <v>454</v>
      </c>
      <c r="C21" s="20" t="s">
        <v>458</v>
      </c>
      <c r="D21" s="21" t="s">
        <v>459</v>
      </c>
      <c r="E21" s="22">
        <v>1</v>
      </c>
      <c r="F21" s="18" t="s">
        <v>50</v>
      </c>
      <c r="G21" s="21" t="s">
        <v>460</v>
      </c>
      <c r="H21" s="21"/>
    </row>
    <row r="22" spans="1:8" ht="30" customHeight="1">
      <c r="A22" s="14" t="s">
        <v>453</v>
      </c>
      <c r="B22" s="14" t="s">
        <v>454</v>
      </c>
      <c r="C22" s="15" t="s">
        <v>461</v>
      </c>
      <c r="D22" s="16" t="s">
        <v>462</v>
      </c>
      <c r="E22" s="17">
        <v>2</v>
      </c>
      <c r="F22" s="18" t="s">
        <v>189</v>
      </c>
      <c r="G22" s="16" t="s">
        <v>463</v>
      </c>
      <c r="H22" s="16"/>
    </row>
    <row r="23" spans="1:8" ht="30" customHeight="1">
      <c r="A23" s="19" t="s">
        <v>453</v>
      </c>
      <c r="B23" s="19" t="s">
        <v>454</v>
      </c>
      <c r="C23" s="20" t="s">
        <v>464</v>
      </c>
      <c r="D23" s="21" t="s">
        <v>465</v>
      </c>
      <c r="E23" s="17">
        <v>2</v>
      </c>
      <c r="F23" s="18" t="s">
        <v>59</v>
      </c>
      <c r="G23" s="21" t="s">
        <v>466</v>
      </c>
      <c r="H23" s="21"/>
    </row>
    <row r="24" spans="1:8" ht="30" customHeight="1">
      <c r="A24" s="14" t="s">
        <v>453</v>
      </c>
      <c r="B24" s="14" t="s">
        <v>454</v>
      </c>
      <c r="C24" s="15" t="s">
        <v>467</v>
      </c>
      <c r="D24" s="16" t="s">
        <v>468</v>
      </c>
      <c r="E24" s="23">
        <v>3</v>
      </c>
      <c r="F24" s="18" t="s">
        <v>50</v>
      </c>
      <c r="G24" s="16" t="s">
        <v>469</v>
      </c>
      <c r="H24" s="16"/>
    </row>
    <row r="25" spans="1:8" ht="30" customHeight="1">
      <c r="A25" s="19" t="s">
        <v>453</v>
      </c>
      <c r="B25" s="19" t="s">
        <v>454</v>
      </c>
      <c r="C25" s="20" t="s">
        <v>470</v>
      </c>
      <c r="D25" s="21" t="s">
        <v>471</v>
      </c>
      <c r="E25" s="23">
        <v>3</v>
      </c>
      <c r="F25" s="18" t="s">
        <v>50</v>
      </c>
      <c r="G25" s="21" t="s">
        <v>472</v>
      </c>
      <c r="H25" s="21"/>
    </row>
    <row r="26" spans="1:8" ht="30" customHeight="1">
      <c r="A26" s="14" t="s">
        <v>453</v>
      </c>
      <c r="B26" s="14" t="s">
        <v>454</v>
      </c>
      <c r="C26" s="15" t="s">
        <v>473</v>
      </c>
      <c r="D26" s="16" t="s">
        <v>474</v>
      </c>
      <c r="E26" s="23">
        <v>3</v>
      </c>
      <c r="F26" s="18" t="s">
        <v>50</v>
      </c>
      <c r="G26" s="16" t="s">
        <v>475</v>
      </c>
      <c r="H26" s="16"/>
    </row>
    <row r="27" spans="1:8" ht="30" customHeight="1">
      <c r="A27" s="19" t="s">
        <v>453</v>
      </c>
      <c r="B27" s="19" t="s">
        <v>454</v>
      </c>
      <c r="C27" s="20" t="s">
        <v>476</v>
      </c>
      <c r="D27" s="21" t="s">
        <v>477</v>
      </c>
      <c r="E27" s="23">
        <v>3</v>
      </c>
      <c r="F27" s="18" t="s">
        <v>50</v>
      </c>
      <c r="G27" s="21" t="s">
        <v>478</v>
      </c>
      <c r="H27" s="21"/>
    </row>
    <row r="28" spans="1:8" ht="18" customHeight="1">
      <c r="A28" s="13" t="s">
        <v>479</v>
      </c>
      <c r="B28" s="13" t="s">
        <v>480</v>
      </c>
      <c r="C28" s="13"/>
      <c r="D28" s="13"/>
      <c r="E28" s="13"/>
      <c r="F28" s="13"/>
      <c r="G28" s="13"/>
      <c r="H28" s="13"/>
    </row>
    <row r="29" spans="1:8" ht="30" customHeight="1">
      <c r="A29" s="14" t="s">
        <v>479</v>
      </c>
      <c r="B29" s="14" t="s">
        <v>480</v>
      </c>
      <c r="C29" s="15" t="s">
        <v>481</v>
      </c>
      <c r="D29" s="16" t="s">
        <v>482</v>
      </c>
      <c r="E29" s="22">
        <v>1</v>
      </c>
      <c r="F29" s="18" t="s">
        <v>50</v>
      </c>
      <c r="G29" s="16" t="s">
        <v>483</v>
      </c>
      <c r="H29" s="16"/>
    </row>
    <row r="30" spans="1:8" ht="30" customHeight="1">
      <c r="A30" s="19" t="s">
        <v>479</v>
      </c>
      <c r="B30" s="19" t="s">
        <v>480</v>
      </c>
      <c r="C30" s="20" t="s">
        <v>484</v>
      </c>
      <c r="D30" s="21" t="s">
        <v>485</v>
      </c>
      <c r="E30" s="22">
        <v>1</v>
      </c>
      <c r="F30" s="18" t="s">
        <v>59</v>
      </c>
      <c r="G30" s="21" t="s">
        <v>486</v>
      </c>
      <c r="H30" s="21"/>
    </row>
    <row r="31" spans="1:8" ht="30" customHeight="1">
      <c r="A31" s="14" t="s">
        <v>479</v>
      </c>
      <c r="B31" s="14" t="s">
        <v>480</v>
      </c>
      <c r="C31" s="15" t="s">
        <v>487</v>
      </c>
      <c r="D31" s="16" t="s">
        <v>488</v>
      </c>
      <c r="E31" s="17">
        <v>2</v>
      </c>
      <c r="F31" s="18" t="s">
        <v>50</v>
      </c>
      <c r="G31" s="16" t="s">
        <v>489</v>
      </c>
      <c r="H31" s="16"/>
    </row>
    <row r="32" spans="1:8" ht="30" customHeight="1">
      <c r="A32" s="19" t="s">
        <v>479</v>
      </c>
      <c r="B32" s="19" t="s">
        <v>480</v>
      </c>
      <c r="C32" s="20" t="s">
        <v>490</v>
      </c>
      <c r="D32" s="21" t="s">
        <v>491</v>
      </c>
      <c r="E32" s="17">
        <v>2</v>
      </c>
      <c r="F32" s="18" t="s">
        <v>189</v>
      </c>
      <c r="G32" s="21" t="s">
        <v>492</v>
      </c>
      <c r="H32" s="21"/>
    </row>
    <row r="33" spans="1:8" ht="30" customHeight="1">
      <c r="A33" s="14" t="s">
        <v>479</v>
      </c>
      <c r="B33" s="14" t="s">
        <v>480</v>
      </c>
      <c r="C33" s="15" t="s">
        <v>493</v>
      </c>
      <c r="D33" s="16" t="s">
        <v>494</v>
      </c>
      <c r="E33" s="23">
        <v>3</v>
      </c>
      <c r="F33" s="18" t="s">
        <v>189</v>
      </c>
      <c r="G33" s="16" t="s">
        <v>495</v>
      </c>
      <c r="H33" s="16"/>
    </row>
    <row r="34" spans="1:8" ht="30" customHeight="1">
      <c r="A34" s="19" t="s">
        <v>479</v>
      </c>
      <c r="B34" s="19" t="s">
        <v>480</v>
      </c>
      <c r="C34" s="20" t="s">
        <v>496</v>
      </c>
      <c r="D34" s="21" t="s">
        <v>497</v>
      </c>
      <c r="E34" s="23">
        <v>3</v>
      </c>
      <c r="F34" s="18" t="s">
        <v>50</v>
      </c>
      <c r="G34" s="21" t="s">
        <v>498</v>
      </c>
      <c r="H34" s="21"/>
    </row>
    <row r="35" spans="1:8" ht="18" customHeight="1">
      <c r="A35" s="13" t="s">
        <v>499</v>
      </c>
      <c r="B35" s="13" t="s">
        <v>500</v>
      </c>
      <c r="C35" s="13"/>
      <c r="D35" s="13"/>
      <c r="E35" s="13"/>
      <c r="F35" s="13"/>
      <c r="G35" s="13"/>
      <c r="H35" s="13"/>
    </row>
    <row r="36" spans="1:8" ht="30" customHeight="1">
      <c r="A36" s="14" t="s">
        <v>499</v>
      </c>
      <c r="B36" s="14" t="s">
        <v>500</v>
      </c>
      <c r="C36" s="15" t="s">
        <v>501</v>
      </c>
      <c r="D36" s="16" t="s">
        <v>502</v>
      </c>
      <c r="E36" s="17">
        <v>2</v>
      </c>
      <c r="F36" s="18" t="s">
        <v>189</v>
      </c>
      <c r="G36" s="16" t="s">
        <v>503</v>
      </c>
      <c r="H36" s="16"/>
    </row>
    <row r="37" spans="1:8" ht="30" customHeight="1">
      <c r="A37" s="19" t="s">
        <v>499</v>
      </c>
      <c r="B37" s="19" t="s">
        <v>500</v>
      </c>
      <c r="C37" s="20" t="s">
        <v>504</v>
      </c>
      <c r="D37" s="21" t="s">
        <v>505</v>
      </c>
      <c r="E37" s="17">
        <v>2</v>
      </c>
      <c r="F37" s="18" t="s">
        <v>189</v>
      </c>
      <c r="G37" s="21" t="s">
        <v>506</v>
      </c>
      <c r="H37" s="21"/>
    </row>
    <row r="38" spans="1:8" ht="30" customHeight="1">
      <c r="A38" s="14" t="s">
        <v>499</v>
      </c>
      <c r="B38" s="14" t="s">
        <v>500</v>
      </c>
      <c r="C38" s="15" t="s">
        <v>507</v>
      </c>
      <c r="D38" s="16" t="s">
        <v>508</v>
      </c>
      <c r="E38" s="17">
        <v>2</v>
      </c>
      <c r="F38" s="18" t="s">
        <v>189</v>
      </c>
      <c r="G38" s="16" t="s">
        <v>509</v>
      </c>
      <c r="H38" s="16"/>
    </row>
    <row r="39" spans="1:8" ht="30" customHeight="1">
      <c r="A39" s="19" t="s">
        <v>499</v>
      </c>
      <c r="B39" s="19" t="s">
        <v>500</v>
      </c>
      <c r="C39" s="20" t="s">
        <v>510</v>
      </c>
      <c r="D39" s="21" t="s">
        <v>511</v>
      </c>
      <c r="E39" s="17">
        <v>2</v>
      </c>
      <c r="F39" s="18" t="s">
        <v>189</v>
      </c>
      <c r="G39" s="21" t="s">
        <v>512</v>
      </c>
      <c r="H39" s="21"/>
    </row>
    <row r="40" spans="1:8" ht="30" customHeight="1">
      <c r="A40" s="14" t="s">
        <v>499</v>
      </c>
      <c r="B40" s="14" t="s">
        <v>500</v>
      </c>
      <c r="C40" s="15" t="s">
        <v>513</v>
      </c>
      <c r="D40" s="16" t="s">
        <v>514</v>
      </c>
      <c r="E40" s="17">
        <v>2</v>
      </c>
      <c r="F40" s="18" t="s">
        <v>189</v>
      </c>
      <c r="G40" s="16" t="s">
        <v>515</v>
      </c>
      <c r="H40" s="16"/>
    </row>
    <row r="41" spans="1:8" ht="30" customHeight="1">
      <c r="A41" s="19" t="s">
        <v>499</v>
      </c>
      <c r="B41" s="19" t="s">
        <v>500</v>
      </c>
      <c r="C41" s="20" t="s">
        <v>516</v>
      </c>
      <c r="D41" s="21" t="s">
        <v>517</v>
      </c>
      <c r="E41" s="23">
        <v>3</v>
      </c>
      <c r="F41" s="18" t="s">
        <v>189</v>
      </c>
      <c r="G41" s="21" t="s">
        <v>518</v>
      </c>
      <c r="H41" s="21"/>
    </row>
    <row r="42" spans="1:8" ht="30" customHeight="1">
      <c r="A42" s="14" t="s">
        <v>499</v>
      </c>
      <c r="B42" s="14" t="s">
        <v>500</v>
      </c>
      <c r="C42" s="15" t="s">
        <v>519</v>
      </c>
      <c r="D42" s="16" t="s">
        <v>520</v>
      </c>
      <c r="E42" s="23">
        <v>3</v>
      </c>
      <c r="F42" s="18" t="s">
        <v>189</v>
      </c>
      <c r="G42" s="16" t="s">
        <v>521</v>
      </c>
      <c r="H42" s="16"/>
    </row>
    <row r="43" spans="1:8" ht="30" customHeight="1">
      <c r="A43" s="19" t="s">
        <v>499</v>
      </c>
      <c r="B43" s="19" t="s">
        <v>500</v>
      </c>
      <c r="C43" s="20" t="s">
        <v>522</v>
      </c>
      <c r="D43" s="21" t="s">
        <v>523</v>
      </c>
      <c r="E43" s="23">
        <v>3</v>
      </c>
      <c r="F43" s="18" t="s">
        <v>189</v>
      </c>
      <c r="G43" s="21" t="s">
        <v>524</v>
      </c>
      <c r="H43" s="21"/>
    </row>
    <row r="44" spans="1:8" ht="18" customHeight="1">
      <c r="A44" s="13" t="s">
        <v>525</v>
      </c>
      <c r="B44" s="13" t="s">
        <v>526</v>
      </c>
      <c r="C44" s="13"/>
      <c r="D44" s="13"/>
      <c r="E44" s="13"/>
      <c r="F44" s="13"/>
      <c r="G44" s="13"/>
      <c r="H44" s="13"/>
    </row>
    <row r="45" spans="1:8" ht="30" customHeight="1">
      <c r="A45" s="14" t="s">
        <v>525</v>
      </c>
      <c r="B45" s="14" t="s">
        <v>526</v>
      </c>
      <c r="C45" s="15" t="s">
        <v>527</v>
      </c>
      <c r="D45" s="16" t="s">
        <v>528</v>
      </c>
      <c r="E45" s="17">
        <v>2</v>
      </c>
      <c r="F45" s="18" t="s">
        <v>189</v>
      </c>
      <c r="G45" s="16" t="s">
        <v>529</v>
      </c>
      <c r="H45" s="16"/>
    </row>
    <row r="46" spans="1:8" ht="30" customHeight="1">
      <c r="A46" s="19" t="s">
        <v>525</v>
      </c>
      <c r="B46" s="19" t="s">
        <v>526</v>
      </c>
      <c r="C46" s="20" t="s">
        <v>530</v>
      </c>
      <c r="D46" s="21" t="s">
        <v>531</v>
      </c>
      <c r="E46" s="17">
        <v>2</v>
      </c>
      <c r="F46" s="18" t="s">
        <v>189</v>
      </c>
      <c r="G46" s="21" t="s">
        <v>532</v>
      </c>
      <c r="H46" s="21"/>
    </row>
    <row r="47" spans="1:8" ht="30" customHeight="1">
      <c r="A47" s="14" t="s">
        <v>525</v>
      </c>
      <c r="B47" s="14" t="s">
        <v>526</v>
      </c>
      <c r="C47" s="15" t="s">
        <v>533</v>
      </c>
      <c r="D47" s="16" t="s">
        <v>534</v>
      </c>
      <c r="E47" s="17">
        <v>2</v>
      </c>
      <c r="F47" s="18" t="s">
        <v>189</v>
      </c>
      <c r="G47" s="16" t="s">
        <v>535</v>
      </c>
      <c r="H47" s="16"/>
    </row>
    <row r="48" spans="1:8" ht="30" customHeight="1">
      <c r="A48" s="19" t="s">
        <v>525</v>
      </c>
      <c r="B48" s="19" t="s">
        <v>526</v>
      </c>
      <c r="C48" s="20" t="s">
        <v>536</v>
      </c>
      <c r="D48" s="21" t="s">
        <v>537</v>
      </c>
      <c r="E48" s="23">
        <v>3</v>
      </c>
      <c r="F48" s="18" t="s">
        <v>189</v>
      </c>
      <c r="G48" s="21" t="s">
        <v>538</v>
      </c>
      <c r="H48" s="21"/>
    </row>
    <row r="49" spans="1:8" ht="18" customHeight="1">
      <c r="A49" s="13" t="s">
        <v>539</v>
      </c>
      <c r="B49" s="13" t="s">
        <v>540</v>
      </c>
      <c r="C49" s="13"/>
      <c r="D49" s="13"/>
      <c r="E49" s="13"/>
      <c r="F49" s="13"/>
      <c r="G49" s="13"/>
      <c r="H49" s="13"/>
    </row>
    <row r="50" spans="1:8" ht="30" customHeight="1">
      <c r="A50" s="14" t="s">
        <v>539</v>
      </c>
      <c r="B50" s="14" t="s">
        <v>540</v>
      </c>
      <c r="C50" s="15" t="s">
        <v>541</v>
      </c>
      <c r="D50" s="16" t="s">
        <v>542</v>
      </c>
      <c r="E50" s="23">
        <v>3</v>
      </c>
      <c r="F50" s="18" t="s">
        <v>189</v>
      </c>
      <c r="G50" s="16" t="s">
        <v>543</v>
      </c>
      <c r="H50" s="16"/>
    </row>
    <row r="51" spans="1:8" ht="30" customHeight="1">
      <c r="A51" s="19" t="s">
        <v>539</v>
      </c>
      <c r="B51" s="19" t="s">
        <v>540</v>
      </c>
      <c r="C51" s="20" t="s">
        <v>544</v>
      </c>
      <c r="D51" s="21" t="s">
        <v>545</v>
      </c>
      <c r="E51" s="23">
        <v>3</v>
      </c>
      <c r="F51" s="18" t="s">
        <v>189</v>
      </c>
      <c r="G51" s="21" t="s">
        <v>546</v>
      </c>
      <c r="H51" s="21"/>
    </row>
    <row r="52" spans="1:8" ht="18" customHeight="1">
      <c r="A52" s="13" t="s">
        <v>547</v>
      </c>
      <c r="B52" s="13" t="s">
        <v>548</v>
      </c>
      <c r="C52" s="13"/>
      <c r="D52" s="13"/>
      <c r="E52" s="13"/>
      <c r="F52" s="13"/>
      <c r="G52" s="13"/>
      <c r="H52" s="13"/>
    </row>
    <row r="53" spans="1:8" ht="30" customHeight="1">
      <c r="A53" s="14" t="s">
        <v>547</v>
      </c>
      <c r="B53" s="14" t="s">
        <v>548</v>
      </c>
      <c r="C53" s="15" t="s">
        <v>549</v>
      </c>
      <c r="D53" s="16" t="s">
        <v>550</v>
      </c>
      <c r="E53" s="17">
        <v>2</v>
      </c>
      <c r="F53" s="18" t="s">
        <v>189</v>
      </c>
      <c r="G53" s="16" t="s">
        <v>551</v>
      </c>
      <c r="H53" s="16"/>
    </row>
    <row r="54" spans="1:8" ht="30" customHeight="1">
      <c r="A54" s="19" t="s">
        <v>547</v>
      </c>
      <c r="B54" s="19" t="s">
        <v>548</v>
      </c>
      <c r="C54" s="20" t="s">
        <v>552</v>
      </c>
      <c r="D54" s="21" t="s">
        <v>553</v>
      </c>
      <c r="E54" s="17">
        <v>2</v>
      </c>
      <c r="F54" s="18" t="s">
        <v>189</v>
      </c>
      <c r="G54" s="21" t="s">
        <v>554</v>
      </c>
      <c r="H54" s="21"/>
    </row>
    <row r="55" spans="1:8" ht="30" customHeight="1">
      <c r="A55" s="14" t="s">
        <v>547</v>
      </c>
      <c r="B55" s="14" t="s">
        <v>548</v>
      </c>
      <c r="C55" s="15" t="s">
        <v>555</v>
      </c>
      <c r="D55" s="16" t="s">
        <v>556</v>
      </c>
      <c r="E55" s="17">
        <v>2</v>
      </c>
      <c r="F55" s="18" t="s">
        <v>189</v>
      </c>
      <c r="G55" s="16" t="s">
        <v>557</v>
      </c>
      <c r="H55" s="16"/>
    </row>
    <row r="56" spans="1:8" ht="30" customHeight="1">
      <c r="A56" s="19" t="s">
        <v>547</v>
      </c>
      <c r="B56" s="19" t="s">
        <v>548</v>
      </c>
      <c r="C56" s="20" t="s">
        <v>558</v>
      </c>
      <c r="D56" s="21" t="s">
        <v>559</v>
      </c>
      <c r="E56" s="17">
        <v>2</v>
      </c>
      <c r="F56" s="18" t="s">
        <v>189</v>
      </c>
      <c r="G56" s="21" t="s">
        <v>560</v>
      </c>
      <c r="H56" s="21"/>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56" xr:uid="{00000000-0002-0000-06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6"/>
  <sheetViews>
    <sheetView zoomScale="75" zoomScaleNormal="75" workbookViewId="0">
      <pane ySplit="1" topLeftCell="A17" activePane="bottomLeft" state="frozen"/>
      <selection pane="bottomLeft" activeCell="G26" sqref="G26"/>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561</v>
      </c>
      <c r="B2" s="13" t="s">
        <v>562</v>
      </c>
      <c r="C2" s="13"/>
      <c r="D2" s="13"/>
      <c r="E2" s="13"/>
      <c r="F2" s="13"/>
      <c r="G2" s="13"/>
      <c r="H2" s="13"/>
    </row>
    <row r="3" spans="1:8" ht="30" customHeight="1">
      <c r="A3" s="14" t="s">
        <v>561</v>
      </c>
      <c r="B3" s="14" t="s">
        <v>562</v>
      </c>
      <c r="C3" s="15" t="s">
        <v>563</v>
      </c>
      <c r="D3" s="16" t="s">
        <v>564</v>
      </c>
      <c r="E3" s="17">
        <v>2</v>
      </c>
      <c r="F3" s="18" t="s">
        <v>50</v>
      </c>
      <c r="G3" s="16" t="s">
        <v>565</v>
      </c>
      <c r="H3" s="16"/>
    </row>
    <row r="4" spans="1:8" ht="30" customHeight="1">
      <c r="A4" s="19" t="s">
        <v>561</v>
      </c>
      <c r="B4" s="19" t="s">
        <v>562</v>
      </c>
      <c r="C4" s="20" t="s">
        <v>566</v>
      </c>
      <c r="D4" s="21" t="s">
        <v>567</v>
      </c>
      <c r="E4" s="17">
        <v>2</v>
      </c>
      <c r="F4" s="18" t="s">
        <v>50</v>
      </c>
      <c r="G4" s="21" t="s">
        <v>568</v>
      </c>
      <c r="H4" s="21"/>
    </row>
    <row r="5" spans="1:8" ht="30" customHeight="1">
      <c r="A5" s="14" t="s">
        <v>561</v>
      </c>
      <c r="B5" s="14" t="s">
        <v>562</v>
      </c>
      <c r="C5" s="15" t="s">
        <v>569</v>
      </c>
      <c r="D5" s="16" t="s">
        <v>570</v>
      </c>
      <c r="E5" s="17">
        <v>2</v>
      </c>
      <c r="F5" s="18" t="s">
        <v>189</v>
      </c>
      <c r="G5" s="16" t="s">
        <v>571</v>
      </c>
      <c r="H5" s="16"/>
    </row>
    <row r="6" spans="1:8" ht="18" customHeight="1">
      <c r="A6" s="13" t="s">
        <v>572</v>
      </c>
      <c r="B6" s="13" t="s">
        <v>573</v>
      </c>
      <c r="C6" s="13"/>
      <c r="D6" s="13"/>
      <c r="E6" s="13"/>
      <c r="F6" s="13"/>
      <c r="G6" s="13"/>
      <c r="H6" s="13"/>
    </row>
    <row r="7" spans="1:8" ht="30" customHeight="1">
      <c r="A7" s="14" t="s">
        <v>572</v>
      </c>
      <c r="B7" s="14" t="s">
        <v>573</v>
      </c>
      <c r="C7" s="15" t="s">
        <v>574</v>
      </c>
      <c r="D7" s="16" t="s">
        <v>575</v>
      </c>
      <c r="E7" s="22">
        <v>1</v>
      </c>
      <c r="F7" s="18" t="s">
        <v>50</v>
      </c>
      <c r="G7" s="16" t="s">
        <v>576</v>
      </c>
      <c r="H7" s="16"/>
    </row>
    <row r="8" spans="1:8" ht="30" customHeight="1">
      <c r="A8" s="19" t="s">
        <v>572</v>
      </c>
      <c r="B8" s="19" t="s">
        <v>573</v>
      </c>
      <c r="C8" s="20" t="s">
        <v>577</v>
      </c>
      <c r="D8" s="21" t="s">
        <v>578</v>
      </c>
      <c r="E8" s="22">
        <v>1</v>
      </c>
      <c r="F8" s="18" t="s">
        <v>50</v>
      </c>
      <c r="G8" s="21" t="s">
        <v>579</v>
      </c>
      <c r="H8" s="21"/>
    </row>
    <row r="9" spans="1:8" ht="30" customHeight="1">
      <c r="A9" s="14" t="s">
        <v>572</v>
      </c>
      <c r="B9" s="14" t="s">
        <v>573</v>
      </c>
      <c r="C9" s="15" t="s">
        <v>580</v>
      </c>
      <c r="D9" s="16" t="s">
        <v>581</v>
      </c>
      <c r="E9" s="22">
        <v>1</v>
      </c>
      <c r="F9" s="18" t="s">
        <v>50</v>
      </c>
      <c r="G9" s="16" t="s">
        <v>582</v>
      </c>
      <c r="H9" s="16"/>
    </row>
    <row r="10" spans="1:8" ht="30" customHeight="1">
      <c r="A10" s="19" t="s">
        <v>572</v>
      </c>
      <c r="B10" s="19" t="s">
        <v>573</v>
      </c>
      <c r="C10" s="20" t="s">
        <v>583</v>
      </c>
      <c r="D10" s="21" t="s">
        <v>584</v>
      </c>
      <c r="E10" s="22">
        <v>1</v>
      </c>
      <c r="F10" s="18" t="s">
        <v>50</v>
      </c>
      <c r="G10" s="21" t="s">
        <v>585</v>
      </c>
      <c r="H10" s="21"/>
    </row>
    <row r="11" spans="1:8" ht="18" customHeight="1">
      <c r="A11" s="13" t="s">
        <v>586</v>
      </c>
      <c r="B11" s="13" t="s">
        <v>587</v>
      </c>
      <c r="C11" s="13"/>
      <c r="D11" s="13"/>
      <c r="E11" s="13"/>
      <c r="F11" s="13"/>
      <c r="G11" s="13"/>
      <c r="H11" s="13"/>
    </row>
    <row r="12" spans="1:8" ht="30" customHeight="1">
      <c r="A12" s="14" t="s">
        <v>586</v>
      </c>
      <c r="B12" s="14" t="s">
        <v>587</v>
      </c>
      <c r="C12" s="15" t="s">
        <v>588</v>
      </c>
      <c r="D12" s="16" t="s">
        <v>589</v>
      </c>
      <c r="E12" s="17">
        <v>2</v>
      </c>
      <c r="F12" s="18" t="s">
        <v>50</v>
      </c>
      <c r="G12" s="16" t="s">
        <v>590</v>
      </c>
      <c r="H12" s="16"/>
    </row>
    <row r="13" spans="1:8" ht="30" customHeight="1">
      <c r="A13" s="19" t="s">
        <v>586</v>
      </c>
      <c r="B13" s="19" t="s">
        <v>587</v>
      </c>
      <c r="C13" s="20" t="s">
        <v>591</v>
      </c>
      <c r="D13" s="21" t="s">
        <v>592</v>
      </c>
      <c r="E13" s="17">
        <v>2</v>
      </c>
      <c r="F13" s="18" t="s">
        <v>50</v>
      </c>
      <c r="G13" s="21" t="s">
        <v>593</v>
      </c>
      <c r="H13" s="21"/>
    </row>
    <row r="14" spans="1:8" ht="18" customHeight="1">
      <c r="A14" s="13" t="s">
        <v>594</v>
      </c>
      <c r="B14" s="13" t="s">
        <v>595</v>
      </c>
      <c r="C14" s="13"/>
      <c r="D14" s="13"/>
      <c r="E14" s="13"/>
      <c r="F14" s="13"/>
      <c r="G14" s="13"/>
      <c r="H14" s="13"/>
    </row>
    <row r="15" spans="1:8" ht="30" customHeight="1">
      <c r="A15" s="14" t="s">
        <v>594</v>
      </c>
      <c r="B15" s="14" t="s">
        <v>595</v>
      </c>
      <c r="C15" s="15" t="s">
        <v>596</v>
      </c>
      <c r="D15" s="16" t="s">
        <v>597</v>
      </c>
      <c r="E15" s="22">
        <v>1</v>
      </c>
      <c r="F15" s="18" t="s">
        <v>50</v>
      </c>
      <c r="G15" s="16" t="s">
        <v>598</v>
      </c>
      <c r="H15" s="16"/>
    </row>
    <row r="16" spans="1:8" ht="30" customHeight="1">
      <c r="A16" s="19" t="s">
        <v>594</v>
      </c>
      <c r="B16" s="19" t="s">
        <v>595</v>
      </c>
      <c r="C16" s="20" t="s">
        <v>599</v>
      </c>
      <c r="D16" s="21" t="s">
        <v>600</v>
      </c>
      <c r="E16" s="22">
        <v>1</v>
      </c>
      <c r="F16" s="18" t="s">
        <v>50</v>
      </c>
      <c r="G16" s="21" t="s">
        <v>601</v>
      </c>
      <c r="H16" s="21"/>
    </row>
    <row r="17" spans="1:8" ht="30" customHeight="1">
      <c r="A17" s="14" t="s">
        <v>594</v>
      </c>
      <c r="B17" s="14" t="s">
        <v>595</v>
      </c>
      <c r="C17" s="15" t="s">
        <v>602</v>
      </c>
      <c r="D17" s="16" t="s">
        <v>603</v>
      </c>
      <c r="E17" s="17">
        <v>2</v>
      </c>
      <c r="F17" s="18" t="s">
        <v>50</v>
      </c>
      <c r="G17" s="16" t="s">
        <v>604</v>
      </c>
      <c r="H17" s="16"/>
    </row>
    <row r="18" spans="1:8" ht="30" customHeight="1">
      <c r="A18" s="19" t="s">
        <v>594</v>
      </c>
      <c r="B18" s="19" t="s">
        <v>595</v>
      </c>
      <c r="C18" s="20" t="s">
        <v>605</v>
      </c>
      <c r="D18" s="21" t="s">
        <v>606</v>
      </c>
      <c r="E18" s="17">
        <v>2</v>
      </c>
      <c r="F18" s="18" t="s">
        <v>189</v>
      </c>
      <c r="G18" s="21" t="s">
        <v>607</v>
      </c>
      <c r="H18" s="21"/>
    </row>
    <row r="19" spans="1:8" ht="30" customHeight="1">
      <c r="A19" s="14" t="s">
        <v>594</v>
      </c>
      <c r="B19" s="14" t="s">
        <v>595</v>
      </c>
      <c r="C19" s="15" t="s">
        <v>608</v>
      </c>
      <c r="D19" s="16" t="s">
        <v>609</v>
      </c>
      <c r="E19" s="17">
        <v>2</v>
      </c>
      <c r="F19" s="18" t="s">
        <v>50</v>
      </c>
      <c r="G19" s="16" t="s">
        <v>610</v>
      </c>
      <c r="H19" s="16"/>
    </row>
    <row r="20" spans="1:8" ht="18" customHeight="1">
      <c r="A20" s="13" t="s">
        <v>611</v>
      </c>
      <c r="B20" s="13" t="s">
        <v>612</v>
      </c>
      <c r="C20" s="13"/>
      <c r="D20" s="13"/>
      <c r="E20" s="13"/>
      <c r="F20" s="13"/>
      <c r="G20" s="13"/>
      <c r="H20" s="13"/>
    </row>
    <row r="21" spans="1:8" ht="30" customHeight="1">
      <c r="A21" s="14" t="s">
        <v>611</v>
      </c>
      <c r="B21" s="14" t="s">
        <v>612</v>
      </c>
      <c r="C21" s="15" t="s">
        <v>613</v>
      </c>
      <c r="D21" s="16" t="s">
        <v>614</v>
      </c>
      <c r="E21" s="17">
        <v>2</v>
      </c>
      <c r="F21" s="18" t="s">
        <v>189</v>
      </c>
      <c r="G21" s="16" t="s">
        <v>615</v>
      </c>
      <c r="H21" s="16"/>
    </row>
    <row r="22" spans="1:8" ht="30" customHeight="1">
      <c r="A22" s="19" t="s">
        <v>611</v>
      </c>
      <c r="B22" s="19" t="s">
        <v>612</v>
      </c>
      <c r="C22" s="20" t="s">
        <v>616</v>
      </c>
      <c r="D22" s="21" t="s">
        <v>617</v>
      </c>
      <c r="E22" s="17">
        <v>2</v>
      </c>
      <c r="F22" s="18" t="s">
        <v>50</v>
      </c>
      <c r="G22" s="21" t="s">
        <v>618</v>
      </c>
      <c r="H22" s="21"/>
    </row>
    <row r="23" spans="1:8" ht="30" customHeight="1">
      <c r="A23" s="14" t="s">
        <v>611</v>
      </c>
      <c r="B23" s="14" t="s">
        <v>612</v>
      </c>
      <c r="C23" s="15" t="s">
        <v>619</v>
      </c>
      <c r="D23" s="16" t="s">
        <v>620</v>
      </c>
      <c r="E23" s="23">
        <v>3</v>
      </c>
      <c r="F23" s="18" t="s">
        <v>189</v>
      </c>
      <c r="G23" s="16" t="s">
        <v>621</v>
      </c>
      <c r="H23" s="16"/>
    </row>
    <row r="24" spans="1:8" ht="18" customHeight="1">
      <c r="A24" s="13" t="s">
        <v>622</v>
      </c>
      <c r="B24" s="13" t="s">
        <v>623</v>
      </c>
      <c r="C24" s="13"/>
      <c r="D24" s="13"/>
      <c r="E24" s="13"/>
      <c r="F24" s="13"/>
      <c r="G24" s="13"/>
      <c r="H24" s="13"/>
    </row>
    <row r="25" spans="1:8" ht="30" customHeight="1">
      <c r="A25" s="14" t="s">
        <v>622</v>
      </c>
      <c r="B25" s="14" t="s">
        <v>623</v>
      </c>
      <c r="C25" s="15" t="s">
        <v>624</v>
      </c>
      <c r="D25" s="16" t="s">
        <v>625</v>
      </c>
      <c r="E25" s="17">
        <v>2</v>
      </c>
      <c r="F25" s="18" t="s">
        <v>189</v>
      </c>
      <c r="G25" s="16" t="s">
        <v>626</v>
      </c>
      <c r="H25" s="16"/>
    </row>
    <row r="26" spans="1:8" ht="30" customHeight="1">
      <c r="A26" s="19" t="s">
        <v>622</v>
      </c>
      <c r="B26" s="19" t="s">
        <v>623</v>
      </c>
      <c r="C26" s="20" t="s">
        <v>627</v>
      </c>
      <c r="D26" s="21" t="s">
        <v>628</v>
      </c>
      <c r="E26" s="17">
        <v>2</v>
      </c>
      <c r="F26" s="18" t="s">
        <v>50</v>
      </c>
      <c r="G26" s="21" t="s">
        <v>629</v>
      </c>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7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8"/>
  <sheetViews>
    <sheetView topLeftCell="I1" zoomScale="75" zoomScaleNormal="75" workbookViewId="0">
      <pane ySplit="1" topLeftCell="A10" activePane="bottomLeft" state="frozen"/>
      <selection pane="bottomLeft" activeCell="G18" sqref="G18"/>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630</v>
      </c>
      <c r="B2" s="13" t="s">
        <v>631</v>
      </c>
      <c r="C2" s="13"/>
      <c r="D2" s="13"/>
      <c r="E2" s="13"/>
      <c r="F2" s="13"/>
      <c r="G2" s="13"/>
      <c r="H2" s="13"/>
    </row>
    <row r="3" spans="1:8" ht="30" customHeight="1">
      <c r="A3" s="14" t="s">
        <v>630</v>
      </c>
      <c r="B3" s="14" t="s">
        <v>631</v>
      </c>
      <c r="C3" s="15" t="s">
        <v>632</v>
      </c>
      <c r="D3" s="16" t="s">
        <v>633</v>
      </c>
      <c r="E3" s="22">
        <v>1</v>
      </c>
      <c r="F3" s="18" t="s">
        <v>50</v>
      </c>
      <c r="G3" s="16" t="s">
        <v>634</v>
      </c>
      <c r="H3" s="16"/>
    </row>
    <row r="4" spans="1:8" ht="30" customHeight="1">
      <c r="A4" s="19" t="s">
        <v>630</v>
      </c>
      <c r="B4" s="19" t="s">
        <v>631</v>
      </c>
      <c r="C4" s="20" t="s">
        <v>635</v>
      </c>
      <c r="D4" s="21" t="s">
        <v>636</v>
      </c>
      <c r="E4" s="17">
        <v>2</v>
      </c>
      <c r="F4" s="18" t="s">
        <v>50</v>
      </c>
      <c r="G4" s="21" t="s">
        <v>637</v>
      </c>
      <c r="H4" s="21"/>
    </row>
    <row r="5" spans="1:8" ht="30" customHeight="1">
      <c r="A5" s="14" t="s">
        <v>630</v>
      </c>
      <c r="B5" s="14" t="s">
        <v>631</v>
      </c>
      <c r="C5" s="15" t="s">
        <v>638</v>
      </c>
      <c r="D5" s="16" t="s">
        <v>639</v>
      </c>
      <c r="E5" s="23">
        <v>3</v>
      </c>
      <c r="F5" s="18" t="s">
        <v>50</v>
      </c>
      <c r="G5" s="16" t="s">
        <v>640</v>
      </c>
      <c r="H5" s="16"/>
    </row>
    <row r="6" spans="1:8" ht="30" customHeight="1">
      <c r="A6" s="19" t="s">
        <v>630</v>
      </c>
      <c r="B6" s="19" t="s">
        <v>631</v>
      </c>
      <c r="C6" s="20" t="s">
        <v>641</v>
      </c>
      <c r="D6" s="21" t="s">
        <v>642</v>
      </c>
      <c r="E6" s="23">
        <v>3</v>
      </c>
      <c r="F6" s="18" t="s">
        <v>50</v>
      </c>
      <c r="G6" s="21" t="s">
        <v>643</v>
      </c>
      <c r="H6" s="21"/>
    </row>
    <row r="7" spans="1:8" ht="18" customHeight="1">
      <c r="A7" s="13" t="s">
        <v>644</v>
      </c>
      <c r="B7" s="13" t="s">
        <v>645</v>
      </c>
      <c r="C7" s="13"/>
      <c r="D7" s="13"/>
      <c r="E7" s="13"/>
      <c r="F7" s="13"/>
      <c r="G7" s="13"/>
      <c r="H7" s="13"/>
    </row>
    <row r="8" spans="1:8" ht="30" customHeight="1">
      <c r="A8" s="14" t="s">
        <v>644</v>
      </c>
      <c r="B8" s="14" t="s">
        <v>645</v>
      </c>
      <c r="C8" s="15" t="s">
        <v>646</v>
      </c>
      <c r="D8" s="16" t="s">
        <v>647</v>
      </c>
      <c r="E8" s="22">
        <v>1</v>
      </c>
      <c r="F8" s="18" t="s">
        <v>50</v>
      </c>
      <c r="G8" s="16" t="s">
        <v>648</v>
      </c>
      <c r="H8" s="16"/>
    </row>
    <row r="9" spans="1:8" ht="30" customHeight="1">
      <c r="A9" s="19" t="s">
        <v>644</v>
      </c>
      <c r="B9" s="19" t="s">
        <v>645</v>
      </c>
      <c r="C9" s="20" t="s">
        <v>649</v>
      </c>
      <c r="D9" s="21" t="s">
        <v>650</v>
      </c>
      <c r="E9" s="22">
        <v>1</v>
      </c>
      <c r="F9" s="18" t="s">
        <v>50</v>
      </c>
      <c r="G9" s="21" t="s">
        <v>651</v>
      </c>
      <c r="H9" s="21"/>
    </row>
    <row r="10" spans="1:8" ht="30" customHeight="1">
      <c r="A10" s="14" t="s">
        <v>644</v>
      </c>
      <c r="B10" s="14" t="s">
        <v>645</v>
      </c>
      <c r="C10" s="15" t="s">
        <v>652</v>
      </c>
      <c r="D10" s="16" t="s">
        <v>653</v>
      </c>
      <c r="E10" s="17">
        <v>2</v>
      </c>
      <c r="F10" s="18" t="s">
        <v>50</v>
      </c>
      <c r="G10" s="16" t="s">
        <v>654</v>
      </c>
      <c r="H10" s="16"/>
    </row>
    <row r="11" spans="1:8" ht="30" customHeight="1">
      <c r="A11" s="19" t="s">
        <v>644</v>
      </c>
      <c r="B11" s="19" t="s">
        <v>645</v>
      </c>
      <c r="C11" s="20" t="s">
        <v>655</v>
      </c>
      <c r="D11" s="21" t="s">
        <v>656</v>
      </c>
      <c r="E11" s="23">
        <v>3</v>
      </c>
      <c r="F11" s="18" t="s">
        <v>50</v>
      </c>
      <c r="G11" s="21" t="s">
        <v>657</v>
      </c>
      <c r="H11" s="21"/>
    </row>
    <row r="12" spans="1:8" ht="18" customHeight="1">
      <c r="A12" s="13" t="s">
        <v>658</v>
      </c>
      <c r="B12" s="13" t="s">
        <v>659</v>
      </c>
      <c r="C12" s="13"/>
      <c r="D12" s="13"/>
      <c r="E12" s="13"/>
      <c r="F12" s="13"/>
      <c r="G12" s="13"/>
      <c r="H12" s="13"/>
    </row>
    <row r="13" spans="1:8" ht="30" customHeight="1">
      <c r="A13" s="14" t="s">
        <v>658</v>
      </c>
      <c r="B13" s="14" t="s">
        <v>659</v>
      </c>
      <c r="C13" s="15" t="s">
        <v>660</v>
      </c>
      <c r="D13" s="16" t="s">
        <v>661</v>
      </c>
      <c r="E13" s="22">
        <v>1</v>
      </c>
      <c r="F13" s="18" t="s">
        <v>50</v>
      </c>
      <c r="G13" s="16" t="s">
        <v>662</v>
      </c>
      <c r="H13" s="16"/>
    </row>
    <row r="14" spans="1:8" ht="30" customHeight="1">
      <c r="A14" s="19" t="s">
        <v>658</v>
      </c>
      <c r="B14" s="19" t="s">
        <v>659</v>
      </c>
      <c r="C14" s="20" t="s">
        <v>663</v>
      </c>
      <c r="D14" s="21" t="s">
        <v>664</v>
      </c>
      <c r="E14" s="23">
        <v>3</v>
      </c>
      <c r="F14" s="18" t="s">
        <v>50</v>
      </c>
      <c r="G14" s="21" t="s">
        <v>665</v>
      </c>
      <c r="H14" s="21"/>
    </row>
    <row r="15" spans="1:8" ht="30" customHeight="1">
      <c r="A15" s="14" t="s">
        <v>658</v>
      </c>
      <c r="B15" s="14" t="s">
        <v>659</v>
      </c>
      <c r="C15" s="15" t="s">
        <v>666</v>
      </c>
      <c r="D15" s="16" t="s">
        <v>667</v>
      </c>
      <c r="E15" s="23">
        <v>3</v>
      </c>
      <c r="F15" s="18" t="s">
        <v>189</v>
      </c>
      <c r="G15" s="16" t="s">
        <v>668</v>
      </c>
      <c r="H15" s="16"/>
    </row>
    <row r="16" spans="1:8" ht="18" customHeight="1">
      <c r="A16" s="13" t="s">
        <v>669</v>
      </c>
      <c r="B16" s="13" t="s">
        <v>670</v>
      </c>
      <c r="C16" s="13"/>
      <c r="D16" s="13"/>
      <c r="E16" s="13"/>
      <c r="F16" s="13"/>
      <c r="G16" s="13"/>
      <c r="H16" s="13"/>
    </row>
    <row r="17" spans="1:8" ht="30" customHeight="1">
      <c r="A17" s="14" t="s">
        <v>669</v>
      </c>
      <c r="B17" s="14" t="s">
        <v>670</v>
      </c>
      <c r="C17" s="15" t="s">
        <v>671</v>
      </c>
      <c r="D17" s="16" t="s">
        <v>672</v>
      </c>
      <c r="E17" s="17">
        <v>2</v>
      </c>
      <c r="F17" s="18" t="s">
        <v>59</v>
      </c>
      <c r="G17" s="16" t="s">
        <v>673</v>
      </c>
      <c r="H17" s="16"/>
    </row>
    <row r="18" spans="1:8" ht="30" customHeight="1">
      <c r="A18" s="19" t="s">
        <v>669</v>
      </c>
      <c r="B18" s="19" t="s">
        <v>670</v>
      </c>
      <c r="C18" s="20" t="s">
        <v>674</v>
      </c>
      <c r="D18" s="21" t="s">
        <v>675</v>
      </c>
      <c r="E18" s="23">
        <v>3</v>
      </c>
      <c r="F18" s="18" t="s">
        <v>189</v>
      </c>
      <c r="G18" s="21" t="s">
        <v>676</v>
      </c>
      <c r="H18" s="21"/>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8" xr:uid="{00000000-0002-0000-08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
  <sheetViews>
    <sheetView zoomScale="75" zoomScaleNormal="75" workbookViewId="0">
      <pane ySplit="1" topLeftCell="A2" activePane="bottomLeft" state="frozen"/>
      <selection pane="bottomLeft" activeCell="G10" sqref="G10"/>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677</v>
      </c>
      <c r="B2" s="13" t="s">
        <v>678</v>
      </c>
      <c r="C2" s="13"/>
      <c r="D2" s="13"/>
      <c r="E2" s="13"/>
      <c r="F2" s="13"/>
      <c r="G2" s="13"/>
      <c r="H2" s="13"/>
    </row>
    <row r="3" spans="1:8" ht="30" customHeight="1">
      <c r="A3" s="14" t="s">
        <v>677</v>
      </c>
      <c r="B3" s="14" t="s">
        <v>678</v>
      </c>
      <c r="C3" s="15" t="s">
        <v>679</v>
      </c>
      <c r="D3" s="16" t="s">
        <v>680</v>
      </c>
      <c r="E3" s="22">
        <v>1</v>
      </c>
      <c r="F3" s="18" t="s">
        <v>50</v>
      </c>
      <c r="G3" s="16" t="s">
        <v>681</v>
      </c>
      <c r="H3" s="16"/>
    </row>
    <row r="4" spans="1:8" ht="30" customHeight="1">
      <c r="A4" s="19" t="s">
        <v>677</v>
      </c>
      <c r="B4" s="19" t="s">
        <v>678</v>
      </c>
      <c r="C4" s="20" t="s">
        <v>682</v>
      </c>
      <c r="D4" s="21" t="s">
        <v>683</v>
      </c>
      <c r="E4" s="22">
        <v>1</v>
      </c>
      <c r="F4" s="18" t="s">
        <v>50</v>
      </c>
      <c r="G4" s="21" t="s">
        <v>684</v>
      </c>
      <c r="H4" s="21"/>
    </row>
    <row r="5" spans="1:8" ht="30" customHeight="1">
      <c r="A5" s="14" t="s">
        <v>677</v>
      </c>
      <c r="B5" s="14" t="s">
        <v>678</v>
      </c>
      <c r="C5" s="15" t="s">
        <v>685</v>
      </c>
      <c r="D5" s="16" t="s">
        <v>686</v>
      </c>
      <c r="E5" s="22">
        <v>1</v>
      </c>
      <c r="F5" s="18" t="s">
        <v>50</v>
      </c>
      <c r="G5" s="16" t="s">
        <v>687</v>
      </c>
      <c r="H5" s="16"/>
    </row>
    <row r="6" spans="1:8" ht="18" customHeight="1">
      <c r="A6" s="13" t="s">
        <v>688</v>
      </c>
      <c r="B6" s="13" t="s">
        <v>689</v>
      </c>
      <c r="C6" s="13"/>
      <c r="D6" s="13"/>
      <c r="E6" s="13"/>
      <c r="F6" s="13"/>
      <c r="G6" s="13"/>
      <c r="H6" s="13"/>
    </row>
    <row r="7" spans="1:8" ht="30" customHeight="1">
      <c r="A7" s="14" t="s">
        <v>688</v>
      </c>
      <c r="B7" s="14" t="s">
        <v>689</v>
      </c>
      <c r="C7" s="15" t="s">
        <v>690</v>
      </c>
      <c r="D7" s="16" t="s">
        <v>691</v>
      </c>
      <c r="E7" s="22">
        <v>1</v>
      </c>
      <c r="F7" s="18" t="s">
        <v>50</v>
      </c>
      <c r="G7" s="16" t="s">
        <v>692</v>
      </c>
      <c r="H7" s="16"/>
    </row>
    <row r="8" spans="1:8" ht="30" customHeight="1">
      <c r="A8" s="19" t="s">
        <v>688</v>
      </c>
      <c r="B8" s="19" t="s">
        <v>689</v>
      </c>
      <c r="C8" s="20" t="s">
        <v>693</v>
      </c>
      <c r="D8" s="21" t="s">
        <v>694</v>
      </c>
      <c r="E8" s="17">
        <v>2</v>
      </c>
      <c r="F8" s="18" t="s">
        <v>50</v>
      </c>
      <c r="G8" s="21" t="s">
        <v>695</v>
      </c>
      <c r="H8" s="21"/>
    </row>
    <row r="9" spans="1:8" ht="30" customHeight="1">
      <c r="A9" s="14" t="s">
        <v>688</v>
      </c>
      <c r="B9" s="14" t="s">
        <v>689</v>
      </c>
      <c r="C9" s="15" t="s">
        <v>696</v>
      </c>
      <c r="D9" s="16" t="s">
        <v>697</v>
      </c>
      <c r="E9" s="17">
        <v>2</v>
      </c>
      <c r="F9" s="18" t="s">
        <v>50</v>
      </c>
      <c r="G9" s="16" t="s">
        <v>698</v>
      </c>
      <c r="H9" s="16"/>
    </row>
    <row r="10" spans="1:8" ht="30" customHeight="1">
      <c r="A10" s="19" t="s">
        <v>688</v>
      </c>
      <c r="B10" s="19" t="s">
        <v>689</v>
      </c>
      <c r="C10" s="20" t="s">
        <v>699</v>
      </c>
      <c r="D10" s="21" t="s">
        <v>700</v>
      </c>
      <c r="E10" s="17">
        <v>2</v>
      </c>
      <c r="F10" s="18" t="s">
        <v>50</v>
      </c>
      <c r="G10" s="21" t="s">
        <v>701</v>
      </c>
      <c r="H10" s="21"/>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0" xr:uid="{00000000-0002-0000-09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4"/>
  <sheetViews>
    <sheetView zoomScale="75" zoomScaleNormal="75" workbookViewId="0">
      <pane ySplit="1" topLeftCell="A10" activePane="bottomLeft" state="frozen"/>
      <selection pane="bottomLeft" activeCell="I45" sqref="I45"/>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702</v>
      </c>
      <c r="B2" s="13" t="s">
        <v>703</v>
      </c>
      <c r="C2" s="13"/>
      <c r="D2" s="13"/>
      <c r="E2" s="13"/>
      <c r="F2" s="13"/>
      <c r="G2" s="13"/>
      <c r="H2" s="13"/>
    </row>
    <row r="3" spans="1:8" ht="30" customHeight="1">
      <c r="A3" s="14" t="s">
        <v>702</v>
      </c>
      <c r="B3" s="14" t="s">
        <v>703</v>
      </c>
      <c r="C3" s="15" t="s">
        <v>704</v>
      </c>
      <c r="D3" s="16" t="s">
        <v>705</v>
      </c>
      <c r="E3" s="17">
        <v>2</v>
      </c>
      <c r="F3" s="18" t="s">
        <v>59</v>
      </c>
      <c r="G3" s="16" t="s">
        <v>706</v>
      </c>
      <c r="H3" s="16"/>
    </row>
    <row r="4" spans="1:8" ht="30" customHeight="1">
      <c r="A4" s="19" t="s">
        <v>702</v>
      </c>
      <c r="B4" s="19" t="s">
        <v>703</v>
      </c>
      <c r="C4" s="20" t="s">
        <v>707</v>
      </c>
      <c r="D4" s="21" t="s">
        <v>708</v>
      </c>
      <c r="E4" s="17">
        <v>2</v>
      </c>
      <c r="F4" s="18" t="s">
        <v>59</v>
      </c>
      <c r="G4" s="21" t="s">
        <v>709</v>
      </c>
      <c r="H4" s="21"/>
    </row>
    <row r="5" spans="1:8" ht="18" customHeight="1">
      <c r="A5" s="13" t="s">
        <v>710</v>
      </c>
      <c r="B5" s="13" t="s">
        <v>711</v>
      </c>
      <c r="C5" s="13"/>
      <c r="D5" s="13"/>
      <c r="E5" s="13"/>
      <c r="F5" s="13"/>
      <c r="G5" s="13"/>
      <c r="H5" s="13"/>
    </row>
    <row r="6" spans="1:8" ht="30" customHeight="1">
      <c r="A6" s="14" t="s">
        <v>710</v>
      </c>
      <c r="B6" s="14" t="s">
        <v>711</v>
      </c>
      <c r="C6" s="15" t="s">
        <v>712</v>
      </c>
      <c r="D6" s="16" t="s">
        <v>713</v>
      </c>
      <c r="E6" s="17">
        <v>2</v>
      </c>
      <c r="F6" s="18" t="s">
        <v>59</v>
      </c>
      <c r="G6" s="16" t="s">
        <v>714</v>
      </c>
      <c r="H6" s="16"/>
    </row>
    <row r="7" spans="1:8" ht="30" customHeight="1">
      <c r="A7" s="19" t="s">
        <v>710</v>
      </c>
      <c r="B7" s="19" t="s">
        <v>711</v>
      </c>
      <c r="C7" s="20" t="s">
        <v>715</v>
      </c>
      <c r="D7" s="21" t="s">
        <v>716</v>
      </c>
      <c r="E7" s="17">
        <v>2</v>
      </c>
      <c r="F7" s="18" t="s">
        <v>59</v>
      </c>
      <c r="G7" s="21" t="s">
        <v>717</v>
      </c>
      <c r="H7" s="21"/>
    </row>
    <row r="8" spans="1:8" ht="30" customHeight="1">
      <c r="A8" s="14" t="s">
        <v>710</v>
      </c>
      <c r="B8" s="14" t="s">
        <v>711</v>
      </c>
      <c r="C8" s="15" t="s">
        <v>718</v>
      </c>
      <c r="D8" s="16" t="s">
        <v>719</v>
      </c>
      <c r="E8" s="23">
        <v>3</v>
      </c>
      <c r="F8" s="18" t="s">
        <v>59</v>
      </c>
      <c r="G8" s="16" t="s">
        <v>720</v>
      </c>
      <c r="H8" s="16"/>
    </row>
    <row r="9" spans="1:8" ht="18" customHeight="1">
      <c r="A9" s="13" t="s">
        <v>721</v>
      </c>
      <c r="B9" s="13" t="s">
        <v>722</v>
      </c>
      <c r="C9" s="13"/>
      <c r="D9" s="13"/>
      <c r="E9" s="13"/>
      <c r="F9" s="13"/>
      <c r="G9" s="13"/>
      <c r="H9" s="13"/>
    </row>
    <row r="10" spans="1:8" ht="30" customHeight="1">
      <c r="A10" s="14" t="s">
        <v>721</v>
      </c>
      <c r="B10" s="14" t="s">
        <v>722</v>
      </c>
      <c r="C10" s="15" t="s">
        <v>723</v>
      </c>
      <c r="D10" s="16" t="s">
        <v>724</v>
      </c>
      <c r="E10" s="17">
        <v>2</v>
      </c>
      <c r="F10" s="18" t="s">
        <v>59</v>
      </c>
      <c r="G10" s="16" t="s">
        <v>725</v>
      </c>
      <c r="H10" s="16"/>
    </row>
    <row r="11" spans="1:8" ht="30" customHeight="1">
      <c r="A11" s="19" t="s">
        <v>721</v>
      </c>
      <c r="B11" s="19" t="s">
        <v>722</v>
      </c>
      <c r="C11" s="20" t="s">
        <v>726</v>
      </c>
      <c r="D11" s="21" t="s">
        <v>727</v>
      </c>
      <c r="E11" s="17">
        <v>2</v>
      </c>
      <c r="F11" s="18" t="s">
        <v>728</v>
      </c>
      <c r="G11" s="21" t="s">
        <v>729</v>
      </c>
      <c r="H11" s="21" t="s">
        <v>730</v>
      </c>
    </row>
    <row r="12" spans="1:8" ht="30" customHeight="1">
      <c r="A12" s="14" t="s">
        <v>721</v>
      </c>
      <c r="B12" s="14" t="s">
        <v>722</v>
      </c>
      <c r="C12" s="15" t="s">
        <v>731</v>
      </c>
      <c r="D12" s="16" t="s">
        <v>732</v>
      </c>
      <c r="E12" s="17">
        <v>2</v>
      </c>
      <c r="F12" s="18" t="s">
        <v>59</v>
      </c>
      <c r="G12" s="16" t="s">
        <v>733</v>
      </c>
      <c r="H12" s="16"/>
    </row>
    <row r="13" spans="1:8" ht="30" customHeight="1">
      <c r="A13" s="19" t="s">
        <v>721</v>
      </c>
      <c r="B13" s="19" t="s">
        <v>722</v>
      </c>
      <c r="C13" s="20" t="s">
        <v>734</v>
      </c>
      <c r="D13" s="21" t="s">
        <v>735</v>
      </c>
      <c r="E13" s="17">
        <v>2</v>
      </c>
      <c r="F13" s="18" t="s">
        <v>59</v>
      </c>
      <c r="G13" s="21" t="s">
        <v>736</v>
      </c>
      <c r="H13" s="21"/>
    </row>
    <row r="14" spans="1:8" ht="30" customHeight="1">
      <c r="A14" s="14" t="s">
        <v>721</v>
      </c>
      <c r="B14" s="14" t="s">
        <v>722</v>
      </c>
      <c r="C14" s="15" t="s">
        <v>737</v>
      </c>
      <c r="D14" s="16" t="s">
        <v>738</v>
      </c>
      <c r="E14" s="23">
        <v>3</v>
      </c>
      <c r="F14" s="18" t="s">
        <v>728</v>
      </c>
      <c r="G14" s="16" t="s">
        <v>739</v>
      </c>
      <c r="H14" s="16" t="s">
        <v>740</v>
      </c>
    </row>
    <row r="15" spans="1:8" ht="18" customHeight="1">
      <c r="A15" s="13" t="s">
        <v>741</v>
      </c>
      <c r="B15" s="13" t="s">
        <v>742</v>
      </c>
      <c r="C15" s="13"/>
      <c r="D15" s="13"/>
      <c r="E15" s="13"/>
      <c r="F15" s="13"/>
      <c r="G15" s="13"/>
      <c r="H15" s="13"/>
    </row>
    <row r="16" spans="1:8" ht="30" customHeight="1">
      <c r="A16" s="14" t="s">
        <v>741</v>
      </c>
      <c r="B16" s="14" t="s">
        <v>742</v>
      </c>
      <c r="C16" s="15" t="s">
        <v>743</v>
      </c>
      <c r="D16" s="16" t="s">
        <v>744</v>
      </c>
      <c r="E16" s="22">
        <v>1</v>
      </c>
      <c r="F16" s="18" t="s">
        <v>59</v>
      </c>
      <c r="G16" s="16" t="s">
        <v>745</v>
      </c>
      <c r="H16" s="16"/>
    </row>
    <row r="17" spans="1:8" ht="30" customHeight="1">
      <c r="A17" s="19" t="s">
        <v>741</v>
      </c>
      <c r="B17" s="19" t="s">
        <v>742</v>
      </c>
      <c r="C17" s="20" t="s">
        <v>746</v>
      </c>
      <c r="D17" s="21" t="s">
        <v>747</v>
      </c>
      <c r="E17" s="22">
        <v>1</v>
      </c>
      <c r="F17" s="18" t="s">
        <v>59</v>
      </c>
      <c r="G17" s="16" t="s">
        <v>745</v>
      </c>
      <c r="H17" s="21"/>
    </row>
    <row r="18" spans="1:8" ht="30" customHeight="1">
      <c r="A18" s="14" t="s">
        <v>741</v>
      </c>
      <c r="B18" s="14" t="s">
        <v>742</v>
      </c>
      <c r="C18" s="15" t="s">
        <v>748</v>
      </c>
      <c r="D18" s="16" t="s">
        <v>749</v>
      </c>
      <c r="E18" s="22">
        <v>1</v>
      </c>
      <c r="F18" s="18" t="s">
        <v>59</v>
      </c>
      <c r="G18" s="16" t="s">
        <v>745</v>
      </c>
      <c r="H18" s="16"/>
    </row>
    <row r="19" spans="1:8" ht="30" customHeight="1">
      <c r="A19" s="19" t="s">
        <v>741</v>
      </c>
      <c r="B19" s="19" t="s">
        <v>742</v>
      </c>
      <c r="C19" s="20" t="s">
        <v>750</v>
      </c>
      <c r="D19" s="21" t="s">
        <v>751</v>
      </c>
      <c r="E19" s="22">
        <v>1</v>
      </c>
      <c r="F19" s="18" t="s">
        <v>59</v>
      </c>
      <c r="G19" s="16" t="s">
        <v>745</v>
      </c>
      <c r="H19" s="21"/>
    </row>
    <row r="20" spans="1:8" ht="30" customHeight="1">
      <c r="A20" s="14" t="s">
        <v>741</v>
      </c>
      <c r="B20" s="14" t="s">
        <v>742</v>
      </c>
      <c r="C20" s="15" t="s">
        <v>752</v>
      </c>
      <c r="D20" s="16" t="s">
        <v>753</v>
      </c>
      <c r="E20" s="22">
        <v>1</v>
      </c>
      <c r="F20" s="18" t="s">
        <v>59</v>
      </c>
      <c r="G20" s="16" t="s">
        <v>745</v>
      </c>
      <c r="H20" s="16"/>
    </row>
    <row r="21" spans="1:8" ht="30" customHeight="1">
      <c r="A21" s="19" t="s">
        <v>741</v>
      </c>
      <c r="B21" s="19" t="s">
        <v>742</v>
      </c>
      <c r="C21" s="20" t="s">
        <v>754</v>
      </c>
      <c r="D21" s="21" t="s">
        <v>755</v>
      </c>
      <c r="E21" s="17">
        <v>2</v>
      </c>
      <c r="F21" s="18" t="s">
        <v>59</v>
      </c>
      <c r="G21" s="16" t="s">
        <v>745</v>
      </c>
      <c r="H21" s="21"/>
    </row>
    <row r="22" spans="1:8" ht="30" customHeight="1">
      <c r="A22" s="14" t="s">
        <v>741</v>
      </c>
      <c r="B22" s="14" t="s">
        <v>742</v>
      </c>
      <c r="C22" s="15" t="s">
        <v>756</v>
      </c>
      <c r="D22" s="16" t="s">
        <v>757</v>
      </c>
      <c r="E22" s="17">
        <v>2</v>
      </c>
      <c r="F22" s="18" t="s">
        <v>59</v>
      </c>
      <c r="G22" s="16" t="s">
        <v>745</v>
      </c>
      <c r="H22" s="16"/>
    </row>
    <row r="23" spans="1:8" ht="30" customHeight="1">
      <c r="A23" s="19" t="s">
        <v>741</v>
      </c>
      <c r="B23" s="19" t="s">
        <v>742</v>
      </c>
      <c r="C23" s="20" t="s">
        <v>758</v>
      </c>
      <c r="D23" s="21" t="s">
        <v>759</v>
      </c>
      <c r="E23" s="17">
        <v>2</v>
      </c>
      <c r="F23" s="18" t="s">
        <v>59</v>
      </c>
      <c r="G23" s="16" t="s">
        <v>745</v>
      </c>
      <c r="H23" s="21"/>
    </row>
    <row r="24" spans="1:8" ht="30" customHeight="1">
      <c r="A24" s="14" t="s">
        <v>741</v>
      </c>
      <c r="B24" s="14" t="s">
        <v>742</v>
      </c>
      <c r="C24" s="15" t="s">
        <v>760</v>
      </c>
      <c r="D24" s="16" t="s">
        <v>761</v>
      </c>
      <c r="E24" s="17">
        <v>2</v>
      </c>
      <c r="F24" s="18" t="s">
        <v>59</v>
      </c>
      <c r="G24" s="16" t="s">
        <v>745</v>
      </c>
      <c r="H24" s="16"/>
    </row>
    <row r="25" spans="1:8" ht="30" customHeight="1">
      <c r="A25" s="19" t="s">
        <v>741</v>
      </c>
      <c r="B25" s="19" t="s">
        <v>742</v>
      </c>
      <c r="C25" s="20" t="s">
        <v>762</v>
      </c>
      <c r="D25" s="21" t="s">
        <v>763</v>
      </c>
      <c r="E25" s="17">
        <v>2</v>
      </c>
      <c r="F25" s="18" t="s">
        <v>59</v>
      </c>
      <c r="G25" s="16" t="s">
        <v>745</v>
      </c>
      <c r="H25" s="21"/>
    </row>
    <row r="26" spans="1:8" ht="30" customHeight="1">
      <c r="A26" s="14" t="s">
        <v>741</v>
      </c>
      <c r="B26" s="14" t="s">
        <v>742</v>
      </c>
      <c r="C26" s="15" t="s">
        <v>764</v>
      </c>
      <c r="D26" s="16" t="s">
        <v>765</v>
      </c>
      <c r="E26" s="17">
        <v>2</v>
      </c>
      <c r="F26" s="18" t="s">
        <v>59</v>
      </c>
      <c r="G26" s="16" t="s">
        <v>745</v>
      </c>
      <c r="H26" s="16"/>
    </row>
    <row r="27" spans="1:8" ht="30" customHeight="1">
      <c r="A27" s="19" t="s">
        <v>741</v>
      </c>
      <c r="B27" s="19" t="s">
        <v>742</v>
      </c>
      <c r="C27" s="20" t="s">
        <v>766</v>
      </c>
      <c r="D27" s="21" t="s">
        <v>767</v>
      </c>
      <c r="E27" s="23">
        <v>3</v>
      </c>
      <c r="F27" s="18" t="s">
        <v>59</v>
      </c>
      <c r="G27" s="16" t="s">
        <v>745</v>
      </c>
      <c r="H27" s="21"/>
    </row>
    <row r="28" spans="1:8" ht="30" customHeight="1">
      <c r="A28" s="14" t="s">
        <v>741</v>
      </c>
      <c r="B28" s="14" t="s">
        <v>742</v>
      </c>
      <c r="C28" s="15" t="s">
        <v>768</v>
      </c>
      <c r="D28" s="16" t="s">
        <v>769</v>
      </c>
      <c r="E28" s="23">
        <v>3</v>
      </c>
      <c r="F28" s="18" t="s">
        <v>59</v>
      </c>
      <c r="G28" s="16" t="s">
        <v>745</v>
      </c>
      <c r="H28" s="16"/>
    </row>
    <row r="29" spans="1:8" ht="30" customHeight="1">
      <c r="A29" s="19" t="s">
        <v>741</v>
      </c>
      <c r="B29" s="19" t="s">
        <v>742</v>
      </c>
      <c r="C29" s="20" t="s">
        <v>770</v>
      </c>
      <c r="D29" s="21" t="s">
        <v>771</v>
      </c>
      <c r="E29" s="23">
        <v>3</v>
      </c>
      <c r="F29" s="18" t="s">
        <v>59</v>
      </c>
      <c r="G29" s="16" t="s">
        <v>745</v>
      </c>
      <c r="H29" s="21"/>
    </row>
    <row r="30" spans="1:8" ht="30" customHeight="1">
      <c r="A30" s="14" t="s">
        <v>741</v>
      </c>
      <c r="B30" s="14" t="s">
        <v>742</v>
      </c>
      <c r="C30" s="15" t="s">
        <v>772</v>
      </c>
      <c r="D30" s="16" t="s">
        <v>773</v>
      </c>
      <c r="E30" s="23">
        <v>3</v>
      </c>
      <c r="F30" s="18" t="s">
        <v>59</v>
      </c>
      <c r="G30" s="16" t="s">
        <v>745</v>
      </c>
      <c r="H30" s="16"/>
    </row>
    <row r="31" spans="1:8" ht="30" customHeight="1">
      <c r="A31" s="19" t="s">
        <v>741</v>
      </c>
      <c r="B31" s="19" t="s">
        <v>742</v>
      </c>
      <c r="C31" s="20" t="s">
        <v>774</v>
      </c>
      <c r="D31" s="21" t="s">
        <v>775</v>
      </c>
      <c r="E31" s="23">
        <v>3</v>
      </c>
      <c r="F31" s="18" t="s">
        <v>59</v>
      </c>
      <c r="G31" s="16" t="s">
        <v>745</v>
      </c>
      <c r="H31" s="21"/>
    </row>
    <row r="32" spans="1:8" ht="18" customHeight="1">
      <c r="A32" s="13" t="s">
        <v>776</v>
      </c>
      <c r="B32" s="13" t="s">
        <v>777</v>
      </c>
      <c r="C32" s="13"/>
      <c r="D32" s="13"/>
      <c r="E32" s="13"/>
      <c r="F32" s="13"/>
      <c r="G32" s="13"/>
      <c r="H32" s="13"/>
    </row>
    <row r="33" spans="1:8" ht="30" customHeight="1">
      <c r="A33" s="14" t="s">
        <v>776</v>
      </c>
      <c r="B33" s="14" t="s">
        <v>777</v>
      </c>
      <c r="C33" s="15" t="s">
        <v>778</v>
      </c>
      <c r="D33" s="16" t="s">
        <v>779</v>
      </c>
      <c r="E33" s="17">
        <v>2</v>
      </c>
      <c r="F33" s="18" t="s">
        <v>59</v>
      </c>
      <c r="G33" s="16" t="s">
        <v>780</v>
      </c>
      <c r="H33" s="16"/>
    </row>
    <row r="34" spans="1:8" ht="30" customHeight="1">
      <c r="A34" s="19" t="s">
        <v>776</v>
      </c>
      <c r="B34" s="19" t="s">
        <v>777</v>
      </c>
      <c r="C34" s="20" t="s">
        <v>781</v>
      </c>
      <c r="D34" s="21" t="s">
        <v>782</v>
      </c>
      <c r="E34" s="17">
        <v>2</v>
      </c>
      <c r="F34" s="18" t="s">
        <v>59</v>
      </c>
      <c r="G34" s="21" t="s">
        <v>783</v>
      </c>
      <c r="H34" s="21"/>
    </row>
    <row r="35" spans="1:8" ht="30" customHeight="1">
      <c r="A35" s="14" t="s">
        <v>776</v>
      </c>
      <c r="B35" s="14" t="s">
        <v>777</v>
      </c>
      <c r="C35" s="15" t="s">
        <v>784</v>
      </c>
      <c r="D35" s="16" t="s">
        <v>785</v>
      </c>
      <c r="E35" s="17">
        <v>2</v>
      </c>
      <c r="F35" s="18" t="s">
        <v>59</v>
      </c>
      <c r="G35" s="16" t="s">
        <v>786</v>
      </c>
      <c r="H35" s="16"/>
    </row>
    <row r="36" spans="1:8" ht="30" customHeight="1">
      <c r="A36" s="19" t="s">
        <v>776</v>
      </c>
      <c r="B36" s="19" t="s">
        <v>777</v>
      </c>
      <c r="C36" s="20" t="s">
        <v>787</v>
      </c>
      <c r="D36" s="21" t="s">
        <v>788</v>
      </c>
      <c r="E36" s="17">
        <v>2</v>
      </c>
      <c r="F36" s="18" t="s">
        <v>59</v>
      </c>
      <c r="G36" s="21" t="s">
        <v>789</v>
      </c>
      <c r="H36" s="21"/>
    </row>
    <row r="37" spans="1:8" ht="30" customHeight="1">
      <c r="A37" s="14" t="s">
        <v>776</v>
      </c>
      <c r="B37" s="14" t="s">
        <v>777</v>
      </c>
      <c r="C37" s="15" t="s">
        <v>790</v>
      </c>
      <c r="D37" s="16" t="s">
        <v>791</v>
      </c>
      <c r="E37" s="17">
        <v>2</v>
      </c>
      <c r="F37" s="18" t="s">
        <v>59</v>
      </c>
      <c r="G37" s="16" t="s">
        <v>792</v>
      </c>
      <c r="H37" s="16"/>
    </row>
    <row r="38" spans="1:8" ht="18" customHeight="1">
      <c r="A38" s="13" t="s">
        <v>793</v>
      </c>
      <c r="B38" s="13" t="s">
        <v>794</v>
      </c>
      <c r="C38" s="13"/>
      <c r="D38" s="13"/>
      <c r="E38" s="13"/>
      <c r="F38" s="13"/>
      <c r="G38" s="13"/>
      <c r="H38" s="13"/>
    </row>
    <row r="39" spans="1:8" ht="30" customHeight="1">
      <c r="A39" s="14" t="s">
        <v>793</v>
      </c>
      <c r="B39" s="14" t="s">
        <v>794</v>
      </c>
      <c r="C39" s="15" t="s">
        <v>795</v>
      </c>
      <c r="D39" s="16" t="s">
        <v>796</v>
      </c>
      <c r="E39" s="17">
        <v>2</v>
      </c>
      <c r="F39" s="18" t="s">
        <v>59</v>
      </c>
      <c r="G39" s="16" t="s">
        <v>797</v>
      </c>
      <c r="H39" s="16"/>
    </row>
    <row r="40" spans="1:8" ht="30" customHeight="1">
      <c r="A40" s="19" t="s">
        <v>793</v>
      </c>
      <c r="B40" s="19" t="s">
        <v>794</v>
      </c>
      <c r="C40" s="20" t="s">
        <v>798</v>
      </c>
      <c r="D40" s="21" t="s">
        <v>799</v>
      </c>
      <c r="E40" s="17">
        <v>2</v>
      </c>
      <c r="F40" s="18" t="s">
        <v>59</v>
      </c>
      <c r="G40" s="21" t="s">
        <v>800</v>
      </c>
      <c r="H40" s="21"/>
    </row>
    <row r="41" spans="1:8" ht="18" customHeight="1">
      <c r="A41" s="13" t="s">
        <v>801</v>
      </c>
      <c r="B41" s="13" t="s">
        <v>802</v>
      </c>
      <c r="C41" s="13"/>
      <c r="D41" s="13"/>
      <c r="E41" s="13"/>
      <c r="F41" s="13"/>
      <c r="G41" s="13"/>
      <c r="H41" s="13"/>
    </row>
    <row r="42" spans="1:8" ht="30" customHeight="1">
      <c r="A42" s="14" t="s">
        <v>801</v>
      </c>
      <c r="B42" s="14" t="s">
        <v>802</v>
      </c>
      <c r="C42" s="15" t="s">
        <v>803</v>
      </c>
      <c r="D42" s="16" t="s">
        <v>804</v>
      </c>
      <c r="E42" s="17">
        <v>2</v>
      </c>
      <c r="F42" s="18" t="s">
        <v>59</v>
      </c>
      <c r="G42" s="16" t="s">
        <v>805</v>
      </c>
      <c r="H42" s="16"/>
    </row>
    <row r="43" spans="1:8" ht="30" customHeight="1">
      <c r="A43" s="19" t="s">
        <v>801</v>
      </c>
      <c r="B43" s="19" t="s">
        <v>802</v>
      </c>
      <c r="C43" s="20" t="s">
        <v>806</v>
      </c>
      <c r="D43" s="21" t="s">
        <v>807</v>
      </c>
      <c r="E43" s="17">
        <v>2</v>
      </c>
      <c r="F43" s="18" t="s">
        <v>59</v>
      </c>
      <c r="G43" s="21" t="s">
        <v>808</v>
      </c>
      <c r="H43" s="21"/>
    </row>
    <row r="44" spans="1:8" ht="30" customHeight="1">
      <c r="A44" s="14" t="s">
        <v>801</v>
      </c>
      <c r="B44" s="14" t="s">
        <v>802</v>
      </c>
      <c r="C44" s="15" t="s">
        <v>809</v>
      </c>
      <c r="D44" s="16" t="s">
        <v>810</v>
      </c>
      <c r="E44" s="17">
        <v>2</v>
      </c>
      <c r="F44" s="18" t="s">
        <v>728</v>
      </c>
      <c r="G44" s="16" t="s">
        <v>811</v>
      </c>
      <c r="H44" s="16" t="s">
        <v>812</v>
      </c>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44" xr:uid="{00000000-0002-0000-0A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2"/>
  <sheetViews>
    <sheetView zoomScale="75" zoomScaleNormal="75" workbookViewId="0">
      <pane ySplit="1" topLeftCell="A15" activePane="bottomLeft" state="frozen"/>
      <selection pane="bottomLeft" activeCell="H33" sqref="H33"/>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813</v>
      </c>
      <c r="B2" s="13" t="s">
        <v>814</v>
      </c>
      <c r="C2" s="13"/>
      <c r="D2" s="13"/>
      <c r="E2" s="13"/>
      <c r="F2" s="13"/>
      <c r="G2" s="13"/>
      <c r="H2" s="13"/>
    </row>
    <row r="3" spans="1:8" ht="30" customHeight="1">
      <c r="A3" s="14" t="s">
        <v>813</v>
      </c>
      <c r="B3" s="14" t="s">
        <v>814</v>
      </c>
      <c r="C3" s="15" t="s">
        <v>815</v>
      </c>
      <c r="D3" s="16" t="s">
        <v>816</v>
      </c>
      <c r="E3" s="17">
        <v>2</v>
      </c>
      <c r="F3" s="18" t="s">
        <v>50</v>
      </c>
      <c r="G3" s="21" t="s">
        <v>817</v>
      </c>
      <c r="H3" s="16" t="s">
        <v>818</v>
      </c>
    </row>
    <row r="4" spans="1:8" ht="30" customHeight="1">
      <c r="A4" s="19" t="s">
        <v>813</v>
      </c>
      <c r="B4" s="19" t="s">
        <v>814</v>
      </c>
      <c r="C4" s="20" t="s">
        <v>819</v>
      </c>
      <c r="D4" s="21" t="s">
        <v>820</v>
      </c>
      <c r="E4" s="17">
        <v>2</v>
      </c>
      <c r="F4" s="18" t="s">
        <v>50</v>
      </c>
      <c r="G4" s="21" t="s">
        <v>817</v>
      </c>
      <c r="H4" s="21" t="s">
        <v>821</v>
      </c>
    </row>
    <row r="5" spans="1:8" ht="30" customHeight="1">
      <c r="A5" s="14" t="s">
        <v>813</v>
      </c>
      <c r="B5" s="14" t="s">
        <v>814</v>
      </c>
      <c r="C5" s="15" t="s">
        <v>822</v>
      </c>
      <c r="D5" s="16" t="s">
        <v>823</v>
      </c>
      <c r="E5" s="23">
        <v>3</v>
      </c>
      <c r="F5" s="18" t="s">
        <v>50</v>
      </c>
      <c r="G5" s="21" t="s">
        <v>817</v>
      </c>
      <c r="H5" s="16" t="s">
        <v>824</v>
      </c>
    </row>
    <row r="6" spans="1:8" ht="30" customHeight="1">
      <c r="A6" s="19" t="s">
        <v>813</v>
      </c>
      <c r="B6" s="19" t="s">
        <v>814</v>
      </c>
      <c r="C6" s="20" t="s">
        <v>825</v>
      </c>
      <c r="D6" s="21" t="s">
        <v>826</v>
      </c>
      <c r="E6" s="23">
        <v>3</v>
      </c>
      <c r="F6" s="18" t="s">
        <v>50</v>
      </c>
      <c r="G6" s="21" t="s">
        <v>817</v>
      </c>
      <c r="H6" s="16" t="s">
        <v>827</v>
      </c>
    </row>
    <row r="7" spans="1:8" ht="18" customHeight="1">
      <c r="A7" s="13" t="s">
        <v>828</v>
      </c>
      <c r="B7" s="13" t="s">
        <v>829</v>
      </c>
      <c r="C7" s="13"/>
      <c r="D7" s="13"/>
      <c r="E7" s="13"/>
      <c r="F7" s="13"/>
      <c r="G7" s="13"/>
      <c r="H7" s="13"/>
    </row>
    <row r="8" spans="1:8" ht="30" customHeight="1">
      <c r="A8" s="14" t="s">
        <v>828</v>
      </c>
      <c r="B8" s="14" t="s">
        <v>829</v>
      </c>
      <c r="C8" s="15" t="s">
        <v>830</v>
      </c>
      <c r="D8" s="16" t="s">
        <v>831</v>
      </c>
      <c r="E8" s="17">
        <v>2</v>
      </c>
      <c r="F8" s="18" t="s">
        <v>50</v>
      </c>
      <c r="G8" s="16" t="s">
        <v>832</v>
      </c>
      <c r="H8" s="16" t="s">
        <v>833</v>
      </c>
    </row>
    <row r="9" spans="1:8" ht="30" customHeight="1">
      <c r="A9" s="19" t="s">
        <v>828</v>
      </c>
      <c r="B9" s="19" t="s">
        <v>829</v>
      </c>
      <c r="C9" s="20" t="s">
        <v>834</v>
      </c>
      <c r="D9" s="21" t="s">
        <v>835</v>
      </c>
      <c r="E9" s="17">
        <v>2</v>
      </c>
      <c r="F9" s="18" t="s">
        <v>836</v>
      </c>
      <c r="G9" s="21" t="s">
        <v>837</v>
      </c>
      <c r="H9" s="16" t="s">
        <v>838</v>
      </c>
    </row>
    <row r="10" spans="1:8" ht="30" customHeight="1">
      <c r="A10" s="14" t="s">
        <v>828</v>
      </c>
      <c r="B10" s="14" t="s">
        <v>829</v>
      </c>
      <c r="C10" s="15" t="s">
        <v>839</v>
      </c>
      <c r="D10" s="16" t="s">
        <v>840</v>
      </c>
      <c r="E10" s="17">
        <v>2</v>
      </c>
      <c r="F10" s="18" t="s">
        <v>50</v>
      </c>
      <c r="G10" s="16" t="s">
        <v>841</v>
      </c>
      <c r="H10" s="16"/>
    </row>
    <row r="11" spans="1:8" ht="30" customHeight="1">
      <c r="A11" s="19" t="s">
        <v>828</v>
      </c>
      <c r="B11" s="19" t="s">
        <v>829</v>
      </c>
      <c r="C11" s="20" t="s">
        <v>842</v>
      </c>
      <c r="D11" s="21" t="s">
        <v>843</v>
      </c>
      <c r="E11" s="23">
        <v>3</v>
      </c>
      <c r="F11" s="18" t="s">
        <v>50</v>
      </c>
      <c r="G11" s="21" t="s">
        <v>844</v>
      </c>
      <c r="H11" s="21" t="s">
        <v>845</v>
      </c>
    </row>
    <row r="12" spans="1:8" ht="30" customHeight="1">
      <c r="A12" s="14" t="s">
        <v>828</v>
      </c>
      <c r="B12" s="14" t="s">
        <v>829</v>
      </c>
      <c r="C12" s="15" t="s">
        <v>846</v>
      </c>
      <c r="D12" s="16" t="s">
        <v>847</v>
      </c>
      <c r="E12" s="23">
        <v>3</v>
      </c>
      <c r="F12" s="18" t="s">
        <v>848</v>
      </c>
      <c r="G12" s="16" t="s">
        <v>849</v>
      </c>
      <c r="H12" s="16"/>
    </row>
    <row r="13" spans="1:8" ht="18" customHeight="1">
      <c r="A13" s="13" t="s">
        <v>850</v>
      </c>
      <c r="B13" s="13" t="s">
        <v>851</v>
      </c>
      <c r="C13" s="13"/>
      <c r="D13" s="13"/>
      <c r="E13" s="13"/>
      <c r="F13" s="13"/>
      <c r="G13" s="13"/>
      <c r="H13" s="13"/>
    </row>
    <row r="14" spans="1:8" ht="30" customHeight="1">
      <c r="A14" s="14" t="s">
        <v>850</v>
      </c>
      <c r="B14" s="14" t="s">
        <v>851</v>
      </c>
      <c r="C14" s="15" t="s">
        <v>852</v>
      </c>
      <c r="D14" s="16" t="s">
        <v>853</v>
      </c>
      <c r="E14" s="22">
        <v>1</v>
      </c>
      <c r="F14" s="18" t="s">
        <v>59</v>
      </c>
      <c r="G14" s="16" t="s">
        <v>854</v>
      </c>
      <c r="H14" s="16" t="s">
        <v>855</v>
      </c>
    </row>
    <row r="15" spans="1:8" ht="30" customHeight="1">
      <c r="A15" s="19" t="s">
        <v>850</v>
      </c>
      <c r="B15" s="19" t="s">
        <v>851</v>
      </c>
      <c r="C15" s="20" t="s">
        <v>856</v>
      </c>
      <c r="D15" s="21" t="s">
        <v>857</v>
      </c>
      <c r="E15" s="22">
        <v>1</v>
      </c>
      <c r="F15" s="18" t="s">
        <v>59</v>
      </c>
      <c r="G15" s="21" t="s">
        <v>858</v>
      </c>
      <c r="H15" s="21"/>
    </row>
    <row r="16" spans="1:8" ht="30" customHeight="1">
      <c r="A16" s="14" t="s">
        <v>850</v>
      </c>
      <c r="B16" s="14" t="s">
        <v>851</v>
      </c>
      <c r="C16" s="15" t="s">
        <v>859</v>
      </c>
      <c r="D16" s="16" t="s">
        <v>860</v>
      </c>
      <c r="E16" s="17">
        <v>2</v>
      </c>
      <c r="F16" s="18" t="s">
        <v>836</v>
      </c>
      <c r="G16" s="16" t="s">
        <v>861</v>
      </c>
      <c r="H16" s="16" t="s">
        <v>862</v>
      </c>
    </row>
    <row r="17" spans="1:8" ht="30" customHeight="1">
      <c r="A17" s="19" t="s">
        <v>850</v>
      </c>
      <c r="B17" s="19" t="s">
        <v>851</v>
      </c>
      <c r="C17" s="20" t="s">
        <v>863</v>
      </c>
      <c r="D17" s="21" t="s">
        <v>864</v>
      </c>
      <c r="E17" s="23">
        <v>3</v>
      </c>
      <c r="F17" s="18" t="s">
        <v>59</v>
      </c>
      <c r="G17" s="21" t="s">
        <v>865</v>
      </c>
      <c r="H17" s="21" t="s">
        <v>866</v>
      </c>
    </row>
    <row r="18" spans="1:8" ht="30" customHeight="1">
      <c r="A18" s="14" t="s">
        <v>850</v>
      </c>
      <c r="B18" s="14" t="s">
        <v>851</v>
      </c>
      <c r="C18" s="15" t="s">
        <v>867</v>
      </c>
      <c r="D18" s="16" t="s">
        <v>868</v>
      </c>
      <c r="E18" s="23">
        <v>3</v>
      </c>
      <c r="F18" s="18" t="s">
        <v>59</v>
      </c>
      <c r="G18" s="16" t="s">
        <v>869</v>
      </c>
      <c r="H18" s="16" t="s">
        <v>870</v>
      </c>
    </row>
    <row r="19" spans="1:8" ht="18" customHeight="1">
      <c r="A19" s="13" t="s">
        <v>871</v>
      </c>
      <c r="B19" s="13" t="s">
        <v>872</v>
      </c>
      <c r="C19" s="13"/>
      <c r="D19" s="13"/>
      <c r="E19" s="13"/>
      <c r="F19" s="13"/>
      <c r="G19" s="13"/>
      <c r="H19" s="13"/>
    </row>
    <row r="20" spans="1:8" ht="30" customHeight="1">
      <c r="A20" s="14" t="s">
        <v>871</v>
      </c>
      <c r="B20" s="14" t="s">
        <v>872</v>
      </c>
      <c r="C20" s="15" t="s">
        <v>873</v>
      </c>
      <c r="D20" s="16" t="s">
        <v>874</v>
      </c>
      <c r="E20" s="22">
        <v>1</v>
      </c>
      <c r="F20" s="18" t="s">
        <v>50</v>
      </c>
      <c r="G20" s="16" t="s">
        <v>875</v>
      </c>
      <c r="H20" s="16" t="s">
        <v>876</v>
      </c>
    </row>
    <row r="21" spans="1:8" ht="30" customHeight="1">
      <c r="A21" s="19" t="s">
        <v>871</v>
      </c>
      <c r="B21" s="19" t="s">
        <v>872</v>
      </c>
      <c r="C21" s="20" t="s">
        <v>877</v>
      </c>
      <c r="D21" s="21" t="s">
        <v>878</v>
      </c>
      <c r="E21" s="17">
        <v>2</v>
      </c>
      <c r="F21" s="18" t="s">
        <v>50</v>
      </c>
      <c r="G21" s="21" t="s">
        <v>879</v>
      </c>
      <c r="H21" s="21" t="s">
        <v>838</v>
      </c>
    </row>
    <row r="22" spans="1:8" ht="30" customHeight="1">
      <c r="A22" s="14" t="s">
        <v>871</v>
      </c>
      <c r="B22" s="14" t="s">
        <v>872</v>
      </c>
      <c r="C22" s="15" t="s">
        <v>880</v>
      </c>
      <c r="D22" s="16" t="s">
        <v>881</v>
      </c>
      <c r="E22" s="17">
        <v>2</v>
      </c>
      <c r="F22" s="18" t="s">
        <v>59</v>
      </c>
      <c r="G22" s="16" t="s">
        <v>882</v>
      </c>
      <c r="H22" s="16"/>
    </row>
    <row r="23" spans="1:8" ht="30" customHeight="1">
      <c r="A23" s="19" t="s">
        <v>871</v>
      </c>
      <c r="B23" s="19" t="s">
        <v>872</v>
      </c>
      <c r="C23" s="20" t="s">
        <v>883</v>
      </c>
      <c r="D23" s="21" t="s">
        <v>884</v>
      </c>
      <c r="E23" s="17">
        <v>2</v>
      </c>
      <c r="F23" s="18" t="s">
        <v>59</v>
      </c>
      <c r="G23" s="21" t="s">
        <v>885</v>
      </c>
      <c r="H23" s="21"/>
    </row>
    <row r="24" spans="1:8" ht="18" customHeight="1">
      <c r="A24" s="13" t="s">
        <v>886</v>
      </c>
      <c r="B24" s="13" t="s">
        <v>887</v>
      </c>
      <c r="C24" s="13"/>
      <c r="D24" s="13"/>
      <c r="E24" s="13"/>
      <c r="F24" s="13"/>
      <c r="G24" s="13"/>
      <c r="H24" s="13"/>
    </row>
    <row r="25" spans="1:8" ht="30" customHeight="1">
      <c r="A25" s="14" t="s">
        <v>886</v>
      </c>
      <c r="B25" s="14" t="s">
        <v>887</v>
      </c>
      <c r="C25" s="15" t="s">
        <v>888</v>
      </c>
      <c r="D25" s="16" t="s">
        <v>889</v>
      </c>
      <c r="E25" s="17">
        <v>2</v>
      </c>
      <c r="F25" s="18" t="s">
        <v>50</v>
      </c>
      <c r="G25" s="16" t="s">
        <v>890</v>
      </c>
      <c r="H25" s="16" t="s">
        <v>891</v>
      </c>
    </row>
    <row r="26" spans="1:8" ht="30" customHeight="1">
      <c r="A26" s="19" t="s">
        <v>886</v>
      </c>
      <c r="B26" s="19" t="s">
        <v>887</v>
      </c>
      <c r="C26" s="20" t="s">
        <v>892</v>
      </c>
      <c r="D26" s="21" t="s">
        <v>893</v>
      </c>
      <c r="E26" s="23">
        <v>3</v>
      </c>
      <c r="F26" s="18" t="s">
        <v>50</v>
      </c>
      <c r="G26" s="21" t="s">
        <v>894</v>
      </c>
      <c r="H26" s="21" t="s">
        <v>895</v>
      </c>
    </row>
    <row r="27" spans="1:8" ht="18" customHeight="1">
      <c r="A27" s="13" t="s">
        <v>896</v>
      </c>
      <c r="B27" s="13" t="s">
        <v>897</v>
      </c>
      <c r="C27" s="13"/>
      <c r="D27" s="13"/>
      <c r="E27" s="13"/>
      <c r="F27" s="13"/>
      <c r="G27" s="13"/>
      <c r="H27" s="13"/>
    </row>
    <row r="28" spans="1:8" ht="30" customHeight="1">
      <c r="A28" s="14" t="s">
        <v>896</v>
      </c>
      <c r="B28" s="14" t="s">
        <v>897</v>
      </c>
      <c r="C28" s="15" t="s">
        <v>898</v>
      </c>
      <c r="D28" s="16" t="s">
        <v>899</v>
      </c>
      <c r="E28" s="17">
        <v>2</v>
      </c>
      <c r="F28" s="18" t="s">
        <v>59</v>
      </c>
      <c r="G28" s="16" t="s">
        <v>900</v>
      </c>
      <c r="H28" s="16"/>
    </row>
    <row r="29" spans="1:8" ht="30" customHeight="1">
      <c r="A29" s="19" t="s">
        <v>896</v>
      </c>
      <c r="B29" s="19" t="s">
        <v>897</v>
      </c>
      <c r="C29" s="20" t="s">
        <v>901</v>
      </c>
      <c r="D29" s="21" t="s">
        <v>902</v>
      </c>
      <c r="E29" s="23">
        <v>3</v>
      </c>
      <c r="F29" s="18" t="s">
        <v>50</v>
      </c>
      <c r="G29" s="21" t="s">
        <v>903</v>
      </c>
      <c r="H29" s="21" t="s">
        <v>904</v>
      </c>
    </row>
    <row r="30" spans="1:8" ht="18" customHeight="1">
      <c r="A30" s="13" t="s">
        <v>905</v>
      </c>
      <c r="B30" s="13" t="s">
        <v>906</v>
      </c>
      <c r="C30" s="13"/>
      <c r="D30" s="13"/>
      <c r="E30" s="13"/>
      <c r="F30" s="13"/>
      <c r="G30" s="13"/>
      <c r="H30" s="13"/>
    </row>
    <row r="31" spans="1:8" ht="30" customHeight="1">
      <c r="A31" s="14" t="s">
        <v>905</v>
      </c>
      <c r="B31" s="14" t="s">
        <v>906</v>
      </c>
      <c r="C31" s="15" t="s">
        <v>907</v>
      </c>
      <c r="D31" s="16" t="s">
        <v>908</v>
      </c>
      <c r="E31" s="23">
        <v>3</v>
      </c>
      <c r="F31" s="18" t="s">
        <v>59</v>
      </c>
      <c r="G31" s="16" t="s">
        <v>909</v>
      </c>
      <c r="H31" s="16"/>
    </row>
    <row r="32" spans="1:8" ht="30" customHeight="1">
      <c r="A32" s="19" t="s">
        <v>905</v>
      </c>
      <c r="B32" s="19" t="s">
        <v>906</v>
      </c>
      <c r="C32" s="20" t="s">
        <v>910</v>
      </c>
      <c r="D32" s="21" t="s">
        <v>911</v>
      </c>
      <c r="E32" s="23">
        <v>3</v>
      </c>
      <c r="F32" s="18" t="s">
        <v>50</v>
      </c>
      <c r="G32" s="21" t="s">
        <v>912</v>
      </c>
      <c r="H32" s="21" t="s">
        <v>913</v>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32" xr:uid="{00000000-0002-0000-0B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6"/>
  <sheetViews>
    <sheetView zoomScale="75" zoomScaleNormal="75" workbookViewId="0">
      <pane ySplit="1" topLeftCell="A2" activePane="bottomLeft" state="frozen"/>
      <selection pane="bottomLeft" activeCell="G3" sqref="G3:G7"/>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914</v>
      </c>
      <c r="B2" s="13" t="s">
        <v>915</v>
      </c>
      <c r="C2" s="13"/>
      <c r="D2" s="13"/>
      <c r="E2" s="13"/>
      <c r="F2" s="13"/>
      <c r="G2" s="13"/>
      <c r="H2" s="13"/>
    </row>
    <row r="3" spans="1:8" ht="30" customHeight="1">
      <c r="A3" s="14" t="s">
        <v>914</v>
      </c>
      <c r="B3" s="14" t="s">
        <v>915</v>
      </c>
      <c r="C3" s="15" t="s">
        <v>916</v>
      </c>
      <c r="D3" s="16" t="s">
        <v>917</v>
      </c>
      <c r="E3" s="22">
        <v>1</v>
      </c>
      <c r="F3" s="18" t="s">
        <v>918</v>
      </c>
      <c r="G3" s="16" t="s">
        <v>919</v>
      </c>
      <c r="H3" s="16"/>
    </row>
    <row r="4" spans="1:8" ht="30" customHeight="1">
      <c r="A4" s="19" t="s">
        <v>914</v>
      </c>
      <c r="B4" s="19" t="s">
        <v>915</v>
      </c>
      <c r="C4" s="20" t="s">
        <v>920</v>
      </c>
      <c r="D4" s="21" t="s">
        <v>921</v>
      </c>
      <c r="E4" s="17">
        <v>2</v>
      </c>
      <c r="F4" s="18" t="s">
        <v>918</v>
      </c>
      <c r="G4" s="16" t="s">
        <v>919</v>
      </c>
      <c r="H4" s="16"/>
    </row>
    <row r="5" spans="1:8" ht="30" customHeight="1">
      <c r="A5" s="14" t="s">
        <v>914</v>
      </c>
      <c r="B5" s="14" t="s">
        <v>915</v>
      </c>
      <c r="C5" s="15" t="s">
        <v>922</v>
      </c>
      <c r="D5" s="16" t="s">
        <v>923</v>
      </c>
      <c r="E5" s="17">
        <v>2</v>
      </c>
      <c r="F5" s="18" t="s">
        <v>918</v>
      </c>
      <c r="G5" s="16" t="s">
        <v>919</v>
      </c>
      <c r="H5" s="16"/>
    </row>
    <row r="6" spans="1:8" ht="30" customHeight="1">
      <c r="A6" s="19" t="s">
        <v>914</v>
      </c>
      <c r="B6" s="19" t="s">
        <v>915</v>
      </c>
      <c r="C6" s="20" t="s">
        <v>924</v>
      </c>
      <c r="D6" s="21" t="s">
        <v>925</v>
      </c>
      <c r="E6" s="23">
        <v>3</v>
      </c>
      <c r="F6" s="18" t="s">
        <v>918</v>
      </c>
      <c r="G6" s="16" t="s">
        <v>919</v>
      </c>
      <c r="H6" s="16"/>
    </row>
    <row r="7" spans="1:8" ht="30" customHeight="1">
      <c r="A7" s="14" t="s">
        <v>914</v>
      </c>
      <c r="B7" s="14" t="s">
        <v>915</v>
      </c>
      <c r="C7" s="15" t="s">
        <v>926</v>
      </c>
      <c r="D7" s="16" t="s">
        <v>927</v>
      </c>
      <c r="E7" s="23">
        <v>3</v>
      </c>
      <c r="F7" s="18" t="s">
        <v>918</v>
      </c>
      <c r="G7" s="16" t="s">
        <v>919</v>
      </c>
      <c r="H7" s="16"/>
    </row>
    <row r="8" spans="1:8" ht="18" customHeight="1">
      <c r="A8" s="13" t="s">
        <v>928</v>
      </c>
      <c r="B8" s="13" t="s">
        <v>929</v>
      </c>
      <c r="C8" s="13"/>
      <c r="D8" s="13"/>
      <c r="E8" s="13"/>
      <c r="F8" s="13"/>
      <c r="G8" s="13"/>
      <c r="H8" s="13"/>
    </row>
    <row r="9" spans="1:8" ht="30" customHeight="1">
      <c r="A9" s="14" t="s">
        <v>928</v>
      </c>
      <c r="B9" s="14" t="s">
        <v>929</v>
      </c>
      <c r="C9" s="15" t="s">
        <v>930</v>
      </c>
      <c r="D9" s="16" t="s">
        <v>931</v>
      </c>
      <c r="E9" s="22">
        <v>1</v>
      </c>
      <c r="F9" s="18" t="s">
        <v>50</v>
      </c>
      <c r="G9" s="16" t="s">
        <v>932</v>
      </c>
      <c r="H9" s="16" t="s">
        <v>933</v>
      </c>
    </row>
    <row r="10" spans="1:8" ht="30" customHeight="1">
      <c r="A10" s="19" t="s">
        <v>928</v>
      </c>
      <c r="B10" s="19" t="s">
        <v>929</v>
      </c>
      <c r="C10" s="20" t="s">
        <v>934</v>
      </c>
      <c r="D10" s="21" t="s">
        <v>935</v>
      </c>
      <c r="E10" s="22">
        <v>1</v>
      </c>
      <c r="F10" s="18" t="s">
        <v>50</v>
      </c>
      <c r="G10" s="21" t="s">
        <v>936</v>
      </c>
      <c r="H10" s="21" t="s">
        <v>937</v>
      </c>
    </row>
    <row r="11" spans="1:8" ht="18" customHeight="1">
      <c r="A11" s="13" t="s">
        <v>938</v>
      </c>
      <c r="B11" s="13" t="s">
        <v>939</v>
      </c>
      <c r="C11" s="13"/>
      <c r="D11" s="13"/>
      <c r="E11" s="13"/>
      <c r="F11" s="13"/>
      <c r="G11" s="13"/>
      <c r="H11" s="13"/>
    </row>
    <row r="12" spans="1:8" ht="30" customHeight="1">
      <c r="A12" s="14" t="s">
        <v>938</v>
      </c>
      <c r="B12" s="14" t="s">
        <v>939</v>
      </c>
      <c r="C12" s="15" t="s">
        <v>940</v>
      </c>
      <c r="D12" s="16" t="s">
        <v>941</v>
      </c>
      <c r="E12" s="17">
        <v>2</v>
      </c>
      <c r="F12" s="18" t="s">
        <v>836</v>
      </c>
      <c r="G12" s="16" t="s">
        <v>942</v>
      </c>
      <c r="H12" s="16" t="s">
        <v>943</v>
      </c>
    </row>
    <row r="13" spans="1:8" ht="30" customHeight="1">
      <c r="A13" s="19" t="s">
        <v>938</v>
      </c>
      <c r="B13" s="19" t="s">
        <v>939</v>
      </c>
      <c r="C13" s="20" t="s">
        <v>944</v>
      </c>
      <c r="D13" s="21" t="s">
        <v>945</v>
      </c>
      <c r="E13" s="17">
        <v>2</v>
      </c>
      <c r="F13" s="18" t="s">
        <v>50</v>
      </c>
      <c r="G13" s="21" t="s">
        <v>946</v>
      </c>
      <c r="H13" s="21"/>
    </row>
    <row r="14" spans="1:8" ht="30" customHeight="1">
      <c r="A14" s="14" t="s">
        <v>938</v>
      </c>
      <c r="B14" s="14" t="s">
        <v>939</v>
      </c>
      <c r="C14" s="15" t="s">
        <v>947</v>
      </c>
      <c r="D14" s="16" t="s">
        <v>948</v>
      </c>
      <c r="E14" s="17">
        <v>2</v>
      </c>
      <c r="F14" s="18" t="s">
        <v>59</v>
      </c>
      <c r="G14" s="16" t="s">
        <v>949</v>
      </c>
      <c r="H14" s="16" t="s">
        <v>950</v>
      </c>
    </row>
    <row r="15" spans="1:8" ht="30" customHeight="1">
      <c r="A15" s="19" t="s">
        <v>938</v>
      </c>
      <c r="B15" s="19" t="s">
        <v>939</v>
      </c>
      <c r="C15" s="20" t="s">
        <v>951</v>
      </c>
      <c r="D15" s="21" t="s">
        <v>952</v>
      </c>
      <c r="E15" s="17">
        <v>2</v>
      </c>
      <c r="F15" s="18" t="s">
        <v>59</v>
      </c>
      <c r="G15" s="21" t="s">
        <v>953</v>
      </c>
      <c r="H15" s="21"/>
    </row>
    <row r="16" spans="1:8" ht="30" customHeight="1">
      <c r="A16" s="14" t="s">
        <v>938</v>
      </c>
      <c r="B16" s="14" t="s">
        <v>939</v>
      </c>
      <c r="C16" s="15" t="s">
        <v>954</v>
      </c>
      <c r="D16" s="16" t="s">
        <v>955</v>
      </c>
      <c r="E16" s="23">
        <v>3</v>
      </c>
      <c r="F16" s="18" t="s">
        <v>59</v>
      </c>
      <c r="G16" s="16" t="s">
        <v>956</v>
      </c>
      <c r="H16" s="16"/>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6" xr:uid="{00000000-0002-0000-0C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26"/>
  <sheetViews>
    <sheetView zoomScale="75" zoomScaleNormal="75" workbookViewId="0">
      <pane ySplit="1" topLeftCell="A3" activePane="bottomLeft" state="frozen"/>
      <selection pane="bottomLeft" activeCell="D16" sqref="D16"/>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957</v>
      </c>
      <c r="B2" s="13" t="s">
        <v>958</v>
      </c>
      <c r="C2" s="13"/>
      <c r="D2" s="13"/>
      <c r="E2" s="13"/>
      <c r="F2" s="13"/>
      <c r="G2" s="13"/>
      <c r="H2" s="13"/>
    </row>
    <row r="3" spans="1:8" ht="30" customHeight="1">
      <c r="A3" s="14" t="s">
        <v>957</v>
      </c>
      <c r="B3" s="14" t="s">
        <v>958</v>
      </c>
      <c r="C3" s="15" t="s">
        <v>959</v>
      </c>
      <c r="D3" s="16" t="s">
        <v>960</v>
      </c>
      <c r="E3" s="17">
        <v>2</v>
      </c>
      <c r="F3" s="18" t="s">
        <v>189</v>
      </c>
      <c r="G3" s="16"/>
      <c r="H3" s="16"/>
    </row>
    <row r="4" spans="1:8" ht="30" customHeight="1">
      <c r="A4" s="19" t="s">
        <v>957</v>
      </c>
      <c r="B4" s="19" t="s">
        <v>958</v>
      </c>
      <c r="C4" s="20" t="s">
        <v>961</v>
      </c>
      <c r="D4" s="21" t="s">
        <v>962</v>
      </c>
      <c r="E4" s="23">
        <v>3</v>
      </c>
      <c r="F4" s="18" t="s">
        <v>189</v>
      </c>
      <c r="G4" s="21"/>
      <c r="H4" s="21"/>
    </row>
    <row r="5" spans="1:8" ht="30" customHeight="1">
      <c r="A5" s="14" t="s">
        <v>957</v>
      </c>
      <c r="B5" s="14" t="s">
        <v>958</v>
      </c>
      <c r="C5" s="15" t="s">
        <v>963</v>
      </c>
      <c r="D5" s="16" t="s">
        <v>964</v>
      </c>
      <c r="E5" s="23">
        <v>3</v>
      </c>
      <c r="F5" s="18" t="s">
        <v>189</v>
      </c>
      <c r="G5" s="16"/>
      <c r="H5" s="16"/>
    </row>
    <row r="6" spans="1:8" ht="30" customHeight="1">
      <c r="A6" s="19" t="s">
        <v>957</v>
      </c>
      <c r="B6" s="19" t="s">
        <v>958</v>
      </c>
      <c r="C6" s="20" t="s">
        <v>965</v>
      </c>
      <c r="D6" s="21" t="s">
        <v>966</v>
      </c>
      <c r="E6" s="23">
        <v>3</v>
      </c>
      <c r="F6" s="18" t="s">
        <v>189</v>
      </c>
      <c r="G6" s="21"/>
      <c r="H6" s="21"/>
    </row>
    <row r="7" spans="1:8" ht="18" customHeight="1">
      <c r="A7" s="13" t="s">
        <v>967</v>
      </c>
      <c r="B7" s="13" t="s">
        <v>968</v>
      </c>
      <c r="C7" s="13"/>
      <c r="D7" s="13"/>
      <c r="E7" s="13"/>
      <c r="F7" s="13"/>
      <c r="G7" s="13"/>
      <c r="H7" s="13"/>
    </row>
    <row r="8" spans="1:8" ht="30" customHeight="1">
      <c r="A8" s="14" t="s">
        <v>967</v>
      </c>
      <c r="B8" s="14" t="s">
        <v>968</v>
      </c>
      <c r="C8" s="15" t="s">
        <v>969</v>
      </c>
      <c r="D8" s="16" t="s">
        <v>970</v>
      </c>
      <c r="E8" s="17">
        <v>2</v>
      </c>
      <c r="F8" s="18" t="s">
        <v>189</v>
      </c>
      <c r="G8" s="16"/>
      <c r="H8" s="16"/>
    </row>
    <row r="9" spans="1:8" ht="30" customHeight="1">
      <c r="A9" s="19" t="s">
        <v>967</v>
      </c>
      <c r="B9" s="19" t="s">
        <v>968</v>
      </c>
      <c r="C9" s="20" t="s">
        <v>971</v>
      </c>
      <c r="D9" s="21" t="s">
        <v>972</v>
      </c>
      <c r="E9" s="17">
        <v>2</v>
      </c>
      <c r="F9" s="18" t="s">
        <v>189</v>
      </c>
      <c r="G9" s="21"/>
      <c r="H9" s="21"/>
    </row>
    <row r="10" spans="1:8" ht="30" customHeight="1">
      <c r="A10" s="14" t="s">
        <v>967</v>
      </c>
      <c r="B10" s="14" t="s">
        <v>968</v>
      </c>
      <c r="C10" s="15" t="s">
        <v>973</v>
      </c>
      <c r="D10" s="16" t="s">
        <v>974</v>
      </c>
      <c r="E10" s="17">
        <v>2</v>
      </c>
      <c r="F10" s="18" t="s">
        <v>189</v>
      </c>
      <c r="G10" s="16"/>
      <c r="H10" s="16"/>
    </row>
    <row r="11" spans="1:8" ht="30" customHeight="1">
      <c r="A11" s="19" t="s">
        <v>967</v>
      </c>
      <c r="B11" s="19" t="s">
        <v>968</v>
      </c>
      <c r="C11" s="20" t="s">
        <v>975</v>
      </c>
      <c r="D11" s="21" t="s">
        <v>976</v>
      </c>
      <c r="E11" s="17">
        <v>2</v>
      </c>
      <c r="F11" s="18" t="s">
        <v>189</v>
      </c>
      <c r="G11" s="21"/>
      <c r="H11" s="21"/>
    </row>
    <row r="12" spans="1:8" ht="30" customHeight="1">
      <c r="A12" s="14" t="s">
        <v>967</v>
      </c>
      <c r="B12" s="14" t="s">
        <v>968</v>
      </c>
      <c r="C12" s="15" t="s">
        <v>977</v>
      </c>
      <c r="D12" s="16" t="s">
        <v>978</v>
      </c>
      <c r="E12" s="17">
        <v>2</v>
      </c>
      <c r="F12" s="18" t="s">
        <v>189</v>
      </c>
      <c r="G12" s="16"/>
      <c r="H12" s="16"/>
    </row>
    <row r="13" spans="1:8" ht="30" customHeight="1">
      <c r="A13" s="19" t="s">
        <v>967</v>
      </c>
      <c r="B13" s="19" t="s">
        <v>968</v>
      </c>
      <c r="C13" s="20" t="s">
        <v>979</v>
      </c>
      <c r="D13" s="21" t="s">
        <v>980</v>
      </c>
      <c r="E13" s="23">
        <v>3</v>
      </c>
      <c r="F13" s="18" t="s">
        <v>189</v>
      </c>
      <c r="G13" s="21"/>
      <c r="H13" s="21"/>
    </row>
    <row r="14" spans="1:8" ht="18" customHeight="1">
      <c r="A14" s="13" t="s">
        <v>981</v>
      </c>
      <c r="B14" s="13" t="s">
        <v>982</v>
      </c>
      <c r="C14" s="13"/>
      <c r="D14" s="13"/>
      <c r="E14" s="13"/>
      <c r="F14" s="13"/>
      <c r="G14" s="13"/>
      <c r="H14" s="13"/>
    </row>
    <row r="15" spans="1:8" ht="30" customHeight="1">
      <c r="A15" s="14" t="s">
        <v>981</v>
      </c>
      <c r="B15" s="14" t="s">
        <v>982</v>
      </c>
      <c r="C15" s="15" t="s">
        <v>983</v>
      </c>
      <c r="D15" s="16" t="s">
        <v>984</v>
      </c>
      <c r="E15" s="17">
        <v>2</v>
      </c>
      <c r="F15" s="18" t="s">
        <v>189</v>
      </c>
      <c r="G15" s="16"/>
      <c r="H15" s="16"/>
    </row>
    <row r="16" spans="1:8" ht="30" customHeight="1">
      <c r="A16" s="19" t="s">
        <v>981</v>
      </c>
      <c r="B16" s="19" t="s">
        <v>982</v>
      </c>
      <c r="C16" s="20" t="s">
        <v>985</v>
      </c>
      <c r="D16" s="21" t="s">
        <v>986</v>
      </c>
      <c r="E16" s="17">
        <v>2</v>
      </c>
      <c r="F16" s="18" t="s">
        <v>189</v>
      </c>
      <c r="G16" s="21"/>
      <c r="H16" s="21"/>
    </row>
    <row r="17" spans="1:8" ht="30" customHeight="1">
      <c r="A17" s="14" t="s">
        <v>981</v>
      </c>
      <c r="B17" s="14" t="s">
        <v>982</v>
      </c>
      <c r="C17" s="15" t="s">
        <v>987</v>
      </c>
      <c r="D17" s="16" t="s">
        <v>988</v>
      </c>
      <c r="E17" s="23">
        <v>3</v>
      </c>
      <c r="F17" s="18" t="s">
        <v>189</v>
      </c>
      <c r="G17" s="16"/>
      <c r="H17" s="16"/>
    </row>
    <row r="18" spans="1:8" ht="30" customHeight="1">
      <c r="A18" s="19" t="s">
        <v>981</v>
      </c>
      <c r="B18" s="19" t="s">
        <v>982</v>
      </c>
      <c r="C18" s="20" t="s">
        <v>989</v>
      </c>
      <c r="D18" s="21" t="s">
        <v>990</v>
      </c>
      <c r="E18" s="23">
        <v>3</v>
      </c>
      <c r="F18" s="18" t="s">
        <v>189</v>
      </c>
      <c r="G18" s="21"/>
      <c r="H18" s="21"/>
    </row>
    <row r="19" spans="1:8" ht="18" customHeight="1">
      <c r="A19" s="13" t="s">
        <v>991</v>
      </c>
      <c r="B19" s="13" t="s">
        <v>992</v>
      </c>
      <c r="C19" s="13"/>
      <c r="D19" s="13"/>
      <c r="E19" s="13"/>
      <c r="F19" s="13"/>
      <c r="G19" s="13"/>
      <c r="H19" s="13"/>
    </row>
    <row r="20" spans="1:8" ht="30" customHeight="1">
      <c r="A20" s="14" t="s">
        <v>991</v>
      </c>
      <c r="B20" s="14" t="s">
        <v>992</v>
      </c>
      <c r="C20" s="15" t="s">
        <v>993</v>
      </c>
      <c r="D20" s="16" t="s">
        <v>994</v>
      </c>
      <c r="E20" s="22">
        <v>1</v>
      </c>
      <c r="F20" s="18" t="s">
        <v>189</v>
      </c>
      <c r="G20" s="16"/>
      <c r="H20" s="16"/>
    </row>
    <row r="21" spans="1:8" ht="30" customHeight="1">
      <c r="A21" s="19" t="s">
        <v>991</v>
      </c>
      <c r="B21" s="19" t="s">
        <v>992</v>
      </c>
      <c r="C21" s="20" t="s">
        <v>995</v>
      </c>
      <c r="D21" s="21" t="s">
        <v>996</v>
      </c>
      <c r="E21" s="17">
        <v>2</v>
      </c>
      <c r="F21" s="18" t="s">
        <v>189</v>
      </c>
      <c r="G21" s="21"/>
      <c r="H21" s="21"/>
    </row>
    <row r="22" spans="1:8" ht="30" customHeight="1">
      <c r="A22" s="14" t="s">
        <v>991</v>
      </c>
      <c r="B22" s="14" t="s">
        <v>992</v>
      </c>
      <c r="C22" s="15" t="s">
        <v>997</v>
      </c>
      <c r="D22" s="16" t="s">
        <v>998</v>
      </c>
      <c r="E22" s="17">
        <v>2</v>
      </c>
      <c r="F22" s="18" t="s">
        <v>189</v>
      </c>
      <c r="G22" s="16"/>
      <c r="H22" s="16"/>
    </row>
    <row r="23" spans="1:8" ht="30" customHeight="1">
      <c r="A23" s="19" t="s">
        <v>991</v>
      </c>
      <c r="B23" s="19" t="s">
        <v>992</v>
      </c>
      <c r="C23" s="20" t="s">
        <v>999</v>
      </c>
      <c r="D23" s="21" t="s">
        <v>1000</v>
      </c>
      <c r="E23" s="17">
        <v>2</v>
      </c>
      <c r="F23" s="18" t="s">
        <v>189</v>
      </c>
      <c r="G23" s="21"/>
      <c r="H23" s="21"/>
    </row>
    <row r="24" spans="1:8" ht="30" customHeight="1">
      <c r="A24" s="14" t="s">
        <v>991</v>
      </c>
      <c r="B24" s="14" t="s">
        <v>992</v>
      </c>
      <c r="C24" s="15" t="s">
        <v>1001</v>
      </c>
      <c r="D24" s="16" t="s">
        <v>1002</v>
      </c>
      <c r="E24" s="17">
        <v>2</v>
      </c>
      <c r="F24" s="18" t="s">
        <v>189</v>
      </c>
      <c r="G24" s="16"/>
      <c r="H24" s="16"/>
    </row>
    <row r="25" spans="1:8" ht="30" customHeight="1">
      <c r="A25" s="19" t="s">
        <v>991</v>
      </c>
      <c r="B25" s="19" t="s">
        <v>992</v>
      </c>
      <c r="C25" s="20" t="s">
        <v>1003</v>
      </c>
      <c r="D25" s="21" t="s">
        <v>1004</v>
      </c>
      <c r="E25" s="23">
        <v>3</v>
      </c>
      <c r="F25" s="18" t="s">
        <v>189</v>
      </c>
      <c r="G25" s="21"/>
      <c r="H25" s="21"/>
    </row>
    <row r="26" spans="1:8" ht="30" customHeight="1">
      <c r="A26" s="14" t="s">
        <v>991</v>
      </c>
      <c r="B26" s="14" t="s">
        <v>992</v>
      </c>
      <c r="C26" s="15" t="s">
        <v>1005</v>
      </c>
      <c r="D26" s="16" t="s">
        <v>1006</v>
      </c>
      <c r="E26" s="23">
        <v>3</v>
      </c>
      <c r="F26" s="18" t="s">
        <v>189</v>
      </c>
      <c r="G26" s="16"/>
      <c r="H26" s="16"/>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D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7"/>
  <sheetViews>
    <sheetView zoomScale="75" zoomScaleNormal="75" workbookViewId="0">
      <pane ySplit="1" topLeftCell="A2" activePane="bottomLeft" state="frozen"/>
      <selection pane="bottomLeft" activeCell="D8" sqref="D8"/>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1007</v>
      </c>
      <c r="B2" s="13" t="s">
        <v>1008</v>
      </c>
      <c r="C2" s="13"/>
      <c r="D2" s="13"/>
      <c r="E2" s="13"/>
      <c r="F2" s="13"/>
      <c r="G2" s="13"/>
      <c r="H2" s="13"/>
    </row>
    <row r="3" spans="1:8" ht="30" customHeight="1">
      <c r="A3" s="14" t="s">
        <v>1007</v>
      </c>
      <c r="B3" s="14" t="s">
        <v>1008</v>
      </c>
      <c r="C3" s="15" t="s">
        <v>1009</v>
      </c>
      <c r="D3" s="16" t="s">
        <v>1010</v>
      </c>
      <c r="E3" s="17">
        <v>2</v>
      </c>
      <c r="F3" s="18" t="s">
        <v>50</v>
      </c>
      <c r="G3" s="16"/>
      <c r="H3" s="16" t="s">
        <v>1011</v>
      </c>
    </row>
    <row r="4" spans="1:8" ht="30" customHeight="1">
      <c r="A4" s="19" t="s">
        <v>1007</v>
      </c>
      <c r="B4" s="19" t="s">
        <v>1008</v>
      </c>
      <c r="C4" s="20" t="s">
        <v>1012</v>
      </c>
      <c r="D4" s="21" t="s">
        <v>1013</v>
      </c>
      <c r="E4" s="17">
        <v>2</v>
      </c>
      <c r="F4" s="18" t="s">
        <v>50</v>
      </c>
      <c r="G4" s="21"/>
      <c r="H4" s="21" t="s">
        <v>1011</v>
      </c>
    </row>
    <row r="5" spans="1:8" ht="18" customHeight="1">
      <c r="A5" s="13" t="s">
        <v>1014</v>
      </c>
      <c r="B5" s="13" t="s">
        <v>1015</v>
      </c>
      <c r="C5" s="13"/>
      <c r="D5" s="13"/>
      <c r="E5" s="13"/>
      <c r="F5" s="13"/>
      <c r="G5" s="13"/>
      <c r="H5" s="13"/>
    </row>
    <row r="6" spans="1:8" ht="30" customHeight="1">
      <c r="A6" s="14" t="s">
        <v>1014</v>
      </c>
      <c r="B6" s="14" t="s">
        <v>1015</v>
      </c>
      <c r="C6" s="15" t="s">
        <v>1016</v>
      </c>
      <c r="D6" s="16" t="s">
        <v>1017</v>
      </c>
      <c r="E6" s="22">
        <v>1</v>
      </c>
      <c r="F6" s="18" t="s">
        <v>50</v>
      </c>
      <c r="G6" s="28" t="s">
        <v>1018</v>
      </c>
      <c r="H6" s="16" t="s">
        <v>1019</v>
      </c>
    </row>
    <row r="7" spans="1:8" ht="30" customHeight="1">
      <c r="A7" s="19" t="s">
        <v>1014</v>
      </c>
      <c r="B7" s="19" t="s">
        <v>1015</v>
      </c>
      <c r="C7" s="20" t="s">
        <v>1020</v>
      </c>
      <c r="D7" s="21" t="s">
        <v>1021</v>
      </c>
      <c r="E7" s="17">
        <v>2</v>
      </c>
      <c r="F7" s="18" t="s">
        <v>189</v>
      </c>
      <c r="G7" s="21"/>
      <c r="H7" s="21"/>
    </row>
    <row r="8" spans="1:8" ht="30" customHeight="1">
      <c r="A8" s="14" t="s">
        <v>1014</v>
      </c>
      <c r="B8" s="14" t="s">
        <v>1015</v>
      </c>
      <c r="C8" s="15" t="s">
        <v>1022</v>
      </c>
      <c r="D8" s="16" t="s">
        <v>1023</v>
      </c>
      <c r="E8" s="17">
        <v>2</v>
      </c>
      <c r="F8" s="18" t="s">
        <v>50</v>
      </c>
      <c r="G8" s="16"/>
      <c r="H8" s="16"/>
    </row>
    <row r="9" spans="1:8" ht="30" customHeight="1">
      <c r="A9" s="19" t="s">
        <v>1014</v>
      </c>
      <c r="B9" s="19" t="s">
        <v>1015</v>
      </c>
      <c r="C9" s="20" t="s">
        <v>1024</v>
      </c>
      <c r="D9" s="21" t="s">
        <v>1025</v>
      </c>
      <c r="E9" s="17">
        <v>2</v>
      </c>
      <c r="F9" s="18" t="s">
        <v>50</v>
      </c>
      <c r="G9" s="21"/>
      <c r="H9" s="21"/>
    </row>
    <row r="10" spans="1:8" ht="30" customHeight="1">
      <c r="A10" s="14" t="s">
        <v>1014</v>
      </c>
      <c r="B10" s="14" t="s">
        <v>1015</v>
      </c>
      <c r="C10" s="15" t="s">
        <v>1026</v>
      </c>
      <c r="D10" s="16" t="s">
        <v>1027</v>
      </c>
      <c r="E10" s="23">
        <v>3</v>
      </c>
      <c r="F10" s="18" t="s">
        <v>50</v>
      </c>
      <c r="G10" s="30" t="s">
        <v>1028</v>
      </c>
      <c r="H10" s="16" t="s">
        <v>1019</v>
      </c>
    </row>
    <row r="11" spans="1:8" ht="30" customHeight="1">
      <c r="A11" s="19" t="s">
        <v>1014</v>
      </c>
      <c r="B11" s="19" t="s">
        <v>1015</v>
      </c>
      <c r="C11" s="20" t="s">
        <v>1029</v>
      </c>
      <c r="D11" s="21" t="s">
        <v>1030</v>
      </c>
      <c r="E11" s="23">
        <v>3</v>
      </c>
      <c r="F11" s="18" t="s">
        <v>50</v>
      </c>
      <c r="G11" s="21"/>
      <c r="H11" s="21" t="s">
        <v>1019</v>
      </c>
    </row>
    <row r="12" spans="1:8" ht="30" customHeight="1">
      <c r="A12" s="14" t="s">
        <v>1014</v>
      </c>
      <c r="B12" s="14" t="s">
        <v>1015</v>
      </c>
      <c r="C12" s="15" t="s">
        <v>1031</v>
      </c>
      <c r="D12" s="16" t="s">
        <v>1032</v>
      </c>
      <c r="E12" s="23">
        <v>3</v>
      </c>
      <c r="F12" s="18" t="s">
        <v>189</v>
      </c>
      <c r="G12" s="16"/>
      <c r="H12" s="16"/>
    </row>
    <row r="13" spans="1:8" ht="30" customHeight="1">
      <c r="A13" s="19" t="s">
        <v>1014</v>
      </c>
      <c r="B13" s="19" t="s">
        <v>1015</v>
      </c>
      <c r="C13" s="20" t="s">
        <v>1033</v>
      </c>
      <c r="D13" s="21" t="s">
        <v>1034</v>
      </c>
      <c r="E13" s="23">
        <v>3</v>
      </c>
      <c r="F13" s="18" t="s">
        <v>189</v>
      </c>
      <c r="G13" s="21"/>
      <c r="H13" s="21"/>
    </row>
    <row r="14" spans="1:8" ht="18" customHeight="1">
      <c r="A14" s="13" t="s">
        <v>1035</v>
      </c>
      <c r="B14" s="13" t="s">
        <v>1036</v>
      </c>
      <c r="C14" s="13"/>
      <c r="D14" s="13"/>
      <c r="E14" s="13"/>
      <c r="F14" s="13"/>
      <c r="G14" s="13"/>
      <c r="H14" s="13"/>
    </row>
    <row r="15" spans="1:8" ht="30" customHeight="1">
      <c r="A15" s="14" t="s">
        <v>1035</v>
      </c>
      <c r="B15" s="14" t="s">
        <v>1036</v>
      </c>
      <c r="C15" s="15" t="s">
        <v>1037</v>
      </c>
      <c r="D15" s="16" t="s">
        <v>1038</v>
      </c>
      <c r="E15" s="22">
        <v>1</v>
      </c>
      <c r="F15" s="18" t="s">
        <v>50</v>
      </c>
      <c r="G15" s="29" t="s">
        <v>1039</v>
      </c>
      <c r="H15" s="16" t="s">
        <v>1019</v>
      </c>
    </row>
    <row r="16" spans="1:8" ht="30" customHeight="1">
      <c r="A16" s="19" t="s">
        <v>1035</v>
      </c>
      <c r="B16" s="19" t="s">
        <v>1036</v>
      </c>
      <c r="C16" s="20" t="s">
        <v>1040</v>
      </c>
      <c r="D16" s="21" t="s">
        <v>1041</v>
      </c>
      <c r="E16" s="17">
        <v>2</v>
      </c>
      <c r="F16" s="18" t="s">
        <v>50</v>
      </c>
      <c r="G16" s="21"/>
      <c r="H16" s="21" t="s">
        <v>1042</v>
      </c>
    </row>
    <row r="17" spans="1:8" ht="30" customHeight="1">
      <c r="A17" s="14" t="s">
        <v>1035</v>
      </c>
      <c r="B17" s="14" t="s">
        <v>1036</v>
      </c>
      <c r="C17" s="15" t="s">
        <v>1043</v>
      </c>
      <c r="D17" s="16" t="s">
        <v>1044</v>
      </c>
      <c r="E17" s="17">
        <v>2</v>
      </c>
      <c r="F17" s="18" t="s">
        <v>189</v>
      </c>
      <c r="G17" s="16"/>
      <c r="H17" s="16"/>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17" xr:uid="{00000000-0002-0000-0E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6"/>
  <sheetViews>
    <sheetView zoomScale="75" zoomScaleNormal="75" workbookViewId="0">
      <pane ySplit="1" topLeftCell="A2" activePane="bottomLeft" state="frozen"/>
      <selection pane="bottomLeft" activeCell="I6" sqref="I6"/>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1045</v>
      </c>
      <c r="B2" s="13" t="s">
        <v>1046</v>
      </c>
      <c r="C2" s="13"/>
      <c r="D2" s="13"/>
      <c r="E2" s="13"/>
      <c r="F2" s="13"/>
      <c r="G2" s="13"/>
      <c r="H2" s="13"/>
    </row>
    <row r="3" spans="1:8" ht="30" customHeight="1">
      <c r="A3" s="14" t="s">
        <v>1045</v>
      </c>
      <c r="B3" s="14" t="s">
        <v>1046</v>
      </c>
      <c r="C3" s="15" t="s">
        <v>1047</v>
      </c>
      <c r="D3" s="16" t="s">
        <v>1048</v>
      </c>
      <c r="E3" s="22">
        <v>1</v>
      </c>
      <c r="F3" s="18" t="s">
        <v>50</v>
      </c>
      <c r="G3" s="16"/>
      <c r="H3" s="16" t="s">
        <v>1049</v>
      </c>
    </row>
    <row r="4" spans="1:8" ht="30" customHeight="1">
      <c r="A4" s="19" t="s">
        <v>1045</v>
      </c>
      <c r="B4" s="19" t="s">
        <v>1046</v>
      </c>
      <c r="C4" s="20" t="s">
        <v>1050</v>
      </c>
      <c r="D4" s="21" t="s">
        <v>1051</v>
      </c>
      <c r="E4" s="17">
        <v>2</v>
      </c>
      <c r="F4" s="18" t="s">
        <v>189</v>
      </c>
      <c r="G4" s="21"/>
      <c r="H4" s="21"/>
    </row>
    <row r="5" spans="1:8" ht="30" customHeight="1">
      <c r="A5" s="14" t="s">
        <v>1045</v>
      </c>
      <c r="B5" s="14" t="s">
        <v>1046</v>
      </c>
      <c r="C5" s="15" t="s">
        <v>1052</v>
      </c>
      <c r="D5" s="16" t="s">
        <v>1053</v>
      </c>
      <c r="E5" s="17">
        <v>2</v>
      </c>
      <c r="F5" s="18" t="s">
        <v>50</v>
      </c>
      <c r="G5" s="16"/>
      <c r="H5" s="16" t="s">
        <v>1049</v>
      </c>
    </row>
    <row r="6" spans="1:8" ht="30" customHeight="1">
      <c r="A6" s="19" t="s">
        <v>1045</v>
      </c>
      <c r="B6" s="19" t="s">
        <v>1046</v>
      </c>
      <c r="C6" s="20" t="s">
        <v>1054</v>
      </c>
      <c r="D6" s="21" t="s">
        <v>1055</v>
      </c>
      <c r="E6" s="23">
        <v>3</v>
      </c>
      <c r="F6" s="18" t="s">
        <v>189</v>
      </c>
      <c r="G6" s="21"/>
      <c r="H6" s="16"/>
    </row>
    <row r="7" spans="1:8" ht="30" customHeight="1">
      <c r="A7" s="14" t="s">
        <v>1045</v>
      </c>
      <c r="B7" s="14" t="s">
        <v>1046</v>
      </c>
      <c r="C7" s="15" t="s">
        <v>1056</v>
      </c>
      <c r="D7" s="16" t="s">
        <v>1057</v>
      </c>
      <c r="E7" s="23">
        <v>3</v>
      </c>
      <c r="F7" s="18" t="s">
        <v>50</v>
      </c>
      <c r="G7" s="16"/>
      <c r="H7" s="16" t="s">
        <v>1049</v>
      </c>
    </row>
    <row r="8" spans="1:8" ht="18" customHeight="1">
      <c r="A8" s="13" t="s">
        <v>1058</v>
      </c>
      <c r="B8" s="13" t="s">
        <v>1059</v>
      </c>
      <c r="C8" s="13"/>
      <c r="D8" s="13"/>
      <c r="E8" s="13"/>
      <c r="F8" s="13"/>
      <c r="G8" s="13"/>
      <c r="H8" s="13"/>
    </row>
    <row r="9" spans="1:8" ht="30" customHeight="1">
      <c r="A9" s="14" t="s">
        <v>1058</v>
      </c>
      <c r="B9" s="14" t="s">
        <v>1059</v>
      </c>
      <c r="C9" s="15" t="s">
        <v>1060</v>
      </c>
      <c r="D9" s="16" t="s">
        <v>1061</v>
      </c>
      <c r="E9" s="22">
        <v>1</v>
      </c>
      <c r="F9" s="18" t="s">
        <v>50</v>
      </c>
      <c r="G9" s="16" t="s">
        <v>1062</v>
      </c>
      <c r="H9" s="16"/>
    </row>
    <row r="10" spans="1:8" ht="30" customHeight="1">
      <c r="A10" s="19" t="s">
        <v>1058</v>
      </c>
      <c r="B10" s="19" t="s">
        <v>1059</v>
      </c>
      <c r="C10" s="20" t="s">
        <v>1063</v>
      </c>
      <c r="D10" s="21" t="s">
        <v>1064</v>
      </c>
      <c r="E10" s="17">
        <v>2</v>
      </c>
      <c r="F10" s="18" t="s">
        <v>50</v>
      </c>
      <c r="G10" s="21" t="s">
        <v>1065</v>
      </c>
      <c r="H10" s="21" t="s">
        <v>1066</v>
      </c>
    </row>
    <row r="11" spans="1:8" ht="30" customHeight="1">
      <c r="A11" s="14" t="s">
        <v>1058</v>
      </c>
      <c r="B11" s="14" t="s">
        <v>1059</v>
      </c>
      <c r="C11" s="15" t="s">
        <v>1067</v>
      </c>
      <c r="D11" s="16" t="s">
        <v>1068</v>
      </c>
      <c r="E11" s="17">
        <v>2</v>
      </c>
      <c r="F11" s="18" t="s">
        <v>50</v>
      </c>
      <c r="G11" s="16" t="s">
        <v>1069</v>
      </c>
      <c r="H11" s="16" t="s">
        <v>1070</v>
      </c>
    </row>
    <row r="12" spans="1:8" ht="30" customHeight="1">
      <c r="A12" s="19" t="s">
        <v>1058</v>
      </c>
      <c r="B12" s="19" t="s">
        <v>1059</v>
      </c>
      <c r="C12" s="20" t="s">
        <v>1071</v>
      </c>
      <c r="D12" s="21" t="s">
        <v>1072</v>
      </c>
      <c r="E12" s="23">
        <v>3</v>
      </c>
      <c r="F12" s="18" t="s">
        <v>59</v>
      </c>
      <c r="G12" s="21" t="s">
        <v>1073</v>
      </c>
      <c r="H12" s="21"/>
    </row>
    <row r="13" spans="1:8" ht="30" customHeight="1">
      <c r="A13" s="14" t="s">
        <v>1058</v>
      </c>
      <c r="B13" s="14" t="s">
        <v>1059</v>
      </c>
      <c r="C13" s="15" t="s">
        <v>1074</v>
      </c>
      <c r="D13" s="16" t="s">
        <v>1075</v>
      </c>
      <c r="E13" s="23">
        <v>3</v>
      </c>
      <c r="F13" s="18" t="s">
        <v>189</v>
      </c>
      <c r="G13" s="16"/>
      <c r="H13" s="16"/>
    </row>
    <row r="14" spans="1:8" ht="18" customHeight="1">
      <c r="A14" s="13" t="s">
        <v>1076</v>
      </c>
      <c r="B14" s="13" t="s">
        <v>1077</v>
      </c>
      <c r="C14" s="13"/>
      <c r="D14" s="13"/>
      <c r="E14" s="13"/>
      <c r="F14" s="13"/>
      <c r="G14" s="13"/>
      <c r="H14" s="13"/>
    </row>
    <row r="15" spans="1:8" ht="30" customHeight="1">
      <c r="A15" s="14" t="s">
        <v>1076</v>
      </c>
      <c r="B15" s="14" t="s">
        <v>1077</v>
      </c>
      <c r="C15" s="15" t="s">
        <v>1078</v>
      </c>
      <c r="D15" s="16" t="s">
        <v>1079</v>
      </c>
      <c r="E15" s="22">
        <v>1</v>
      </c>
      <c r="F15" s="18" t="s">
        <v>189</v>
      </c>
      <c r="G15" s="16"/>
      <c r="H15" s="16"/>
    </row>
    <row r="16" spans="1:8" ht="30" customHeight="1">
      <c r="A16" s="19" t="s">
        <v>1076</v>
      </c>
      <c r="B16" s="19" t="s">
        <v>1077</v>
      </c>
      <c r="C16" s="20" t="s">
        <v>1080</v>
      </c>
      <c r="D16" s="21" t="s">
        <v>1081</v>
      </c>
      <c r="E16" s="17">
        <v>2</v>
      </c>
      <c r="F16" s="18" t="s">
        <v>50</v>
      </c>
      <c r="G16" s="21" t="s">
        <v>1082</v>
      </c>
      <c r="H16" s="21"/>
    </row>
    <row r="17" spans="1:8" ht="30" customHeight="1">
      <c r="A17" s="14" t="s">
        <v>1076</v>
      </c>
      <c r="B17" s="14" t="s">
        <v>1077</v>
      </c>
      <c r="C17" s="15" t="s">
        <v>1083</v>
      </c>
      <c r="D17" s="16" t="s">
        <v>1084</v>
      </c>
      <c r="E17" s="17">
        <v>2</v>
      </c>
      <c r="F17" s="18" t="s">
        <v>189</v>
      </c>
      <c r="G17" s="16"/>
      <c r="H17" s="16"/>
    </row>
    <row r="18" spans="1:8" ht="30" customHeight="1">
      <c r="A18" s="19" t="s">
        <v>1076</v>
      </c>
      <c r="B18" s="19" t="s">
        <v>1077</v>
      </c>
      <c r="C18" s="20" t="s">
        <v>1085</v>
      </c>
      <c r="D18" s="21" t="s">
        <v>1086</v>
      </c>
      <c r="E18" s="17">
        <v>2</v>
      </c>
      <c r="F18" s="18" t="s">
        <v>50</v>
      </c>
      <c r="G18" t="s">
        <v>1087</v>
      </c>
      <c r="H18" s="21"/>
    </row>
    <row r="19" spans="1:8" ht="30" customHeight="1">
      <c r="A19" s="14" t="s">
        <v>1076</v>
      </c>
      <c r="B19" s="14" t="s">
        <v>1077</v>
      </c>
      <c r="C19" s="15" t="s">
        <v>1088</v>
      </c>
      <c r="D19" s="16" t="s">
        <v>1089</v>
      </c>
      <c r="E19" s="17">
        <v>2</v>
      </c>
      <c r="F19" s="18" t="s">
        <v>50</v>
      </c>
      <c r="G19" s="16" t="s">
        <v>1090</v>
      </c>
      <c r="H19" s="16"/>
    </row>
    <row r="20" spans="1:8" ht="30" customHeight="1">
      <c r="A20" s="19" t="s">
        <v>1076</v>
      </c>
      <c r="B20" s="19" t="s">
        <v>1077</v>
      </c>
      <c r="C20" s="20" t="s">
        <v>1091</v>
      </c>
      <c r="D20" s="21" t="s">
        <v>1092</v>
      </c>
      <c r="E20" s="17">
        <v>2</v>
      </c>
      <c r="F20" s="18" t="s">
        <v>189</v>
      </c>
      <c r="G20" s="21"/>
      <c r="H20" s="21"/>
    </row>
    <row r="21" spans="1:8" ht="30" customHeight="1">
      <c r="A21" s="14" t="s">
        <v>1076</v>
      </c>
      <c r="B21" s="14" t="s">
        <v>1077</v>
      </c>
      <c r="C21" s="15" t="s">
        <v>1093</v>
      </c>
      <c r="D21" s="16" t="s">
        <v>1094</v>
      </c>
      <c r="E21" s="17">
        <v>2</v>
      </c>
      <c r="F21" s="18" t="s">
        <v>50</v>
      </c>
      <c r="G21" s="31" t="s">
        <v>1095</v>
      </c>
      <c r="H21" s="16" t="s">
        <v>1096</v>
      </c>
    </row>
    <row r="22" spans="1:8" ht="18" customHeight="1">
      <c r="A22" s="13" t="s">
        <v>1097</v>
      </c>
      <c r="B22" s="13" t="s">
        <v>1098</v>
      </c>
      <c r="C22" s="13"/>
      <c r="D22" s="13"/>
      <c r="E22" s="13"/>
      <c r="F22" s="13"/>
      <c r="G22" s="13"/>
      <c r="H22" s="13"/>
    </row>
    <row r="23" spans="1:8" ht="30" customHeight="1">
      <c r="A23" s="14" t="s">
        <v>1097</v>
      </c>
      <c r="B23" s="14" t="s">
        <v>1098</v>
      </c>
      <c r="C23" s="15" t="s">
        <v>1099</v>
      </c>
      <c r="D23" s="16" t="s">
        <v>1100</v>
      </c>
      <c r="E23" s="23">
        <v>3</v>
      </c>
      <c r="F23" s="18" t="s">
        <v>189</v>
      </c>
      <c r="G23" s="16"/>
      <c r="H23" s="16"/>
    </row>
    <row r="24" spans="1:8" ht="30" customHeight="1">
      <c r="A24" s="19" t="s">
        <v>1097</v>
      </c>
      <c r="B24" s="19" t="s">
        <v>1098</v>
      </c>
      <c r="C24" s="20" t="s">
        <v>1101</v>
      </c>
      <c r="D24" s="21" t="s">
        <v>1102</v>
      </c>
      <c r="E24" s="23">
        <v>3</v>
      </c>
      <c r="F24" s="18" t="s">
        <v>189</v>
      </c>
      <c r="G24" s="21"/>
      <c r="H24" s="21"/>
    </row>
    <row r="25" spans="1:8" ht="30" customHeight="1">
      <c r="A25" s="14" t="s">
        <v>1097</v>
      </c>
      <c r="B25" s="14" t="s">
        <v>1098</v>
      </c>
      <c r="C25" s="15" t="s">
        <v>1103</v>
      </c>
      <c r="D25" s="16" t="s">
        <v>1104</v>
      </c>
      <c r="E25" s="23">
        <v>3</v>
      </c>
      <c r="F25" s="18" t="s">
        <v>189</v>
      </c>
      <c r="G25" s="16"/>
      <c r="H25" s="16"/>
    </row>
    <row r="26" spans="1:8" ht="30" customHeight="1">
      <c r="A26" s="19" t="s">
        <v>1097</v>
      </c>
      <c r="B26" s="19" t="s">
        <v>1098</v>
      </c>
      <c r="C26" s="20" t="s">
        <v>1105</v>
      </c>
      <c r="D26" s="21" t="s">
        <v>1106</v>
      </c>
      <c r="E26" s="23">
        <v>3</v>
      </c>
      <c r="F26" s="18" t="s">
        <v>189</v>
      </c>
      <c r="G26" s="21"/>
      <c r="H26" s="21"/>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6" xr:uid="{00000000-0002-0000-0F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23"/>
  <sheetViews>
    <sheetView zoomScale="75" zoomScaleNormal="75" workbookViewId="0">
      <pane ySplit="1" topLeftCell="A6" activePane="bottomLeft" state="frozen"/>
      <selection pane="bottomLeft" activeCell="D12" sqref="D12"/>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1107</v>
      </c>
      <c r="B2" s="13" t="s">
        <v>1108</v>
      </c>
      <c r="C2" s="13"/>
      <c r="D2" s="13"/>
      <c r="E2" s="13"/>
      <c r="F2" s="13"/>
      <c r="G2" s="13"/>
      <c r="H2" s="13"/>
    </row>
    <row r="3" spans="1:8" ht="75">
      <c r="A3" s="14" t="s">
        <v>1107</v>
      </c>
      <c r="B3" s="14" t="s">
        <v>1108</v>
      </c>
      <c r="C3" s="15" t="s">
        <v>1109</v>
      </c>
      <c r="D3" s="16" t="s">
        <v>1110</v>
      </c>
      <c r="E3" s="17">
        <v>2</v>
      </c>
      <c r="F3" s="18" t="s">
        <v>45</v>
      </c>
      <c r="G3" s="16"/>
      <c r="H3" s="16" t="s">
        <v>1111</v>
      </c>
    </row>
    <row r="4" spans="1:8" ht="18" customHeight="1">
      <c r="A4" s="13" t="s">
        <v>1112</v>
      </c>
      <c r="B4" s="13" t="s">
        <v>1113</v>
      </c>
      <c r="C4" s="13"/>
      <c r="D4" s="13"/>
      <c r="E4" s="13"/>
      <c r="F4" s="13"/>
      <c r="G4" s="13"/>
      <c r="H4" s="13"/>
    </row>
    <row r="5" spans="1:8" ht="30" customHeight="1">
      <c r="A5" s="14" t="s">
        <v>1112</v>
      </c>
      <c r="B5" s="14" t="s">
        <v>1113</v>
      </c>
      <c r="C5" s="15" t="s">
        <v>1114</v>
      </c>
      <c r="D5" s="16" t="s">
        <v>1115</v>
      </c>
      <c r="E5" s="17">
        <v>2</v>
      </c>
      <c r="F5" s="18" t="s">
        <v>50</v>
      </c>
      <c r="G5" s="16"/>
      <c r="H5" s="16" t="s">
        <v>1116</v>
      </c>
    </row>
    <row r="6" spans="1:8" ht="30" customHeight="1">
      <c r="A6" s="19" t="s">
        <v>1112</v>
      </c>
      <c r="B6" s="19" t="s">
        <v>1113</v>
      </c>
      <c r="C6" s="20" t="s">
        <v>1117</v>
      </c>
      <c r="D6" s="21" t="s">
        <v>1118</v>
      </c>
      <c r="E6" s="17">
        <v>2</v>
      </c>
      <c r="F6" s="18" t="s">
        <v>50</v>
      </c>
      <c r="G6" s="25" t="s">
        <v>1119</v>
      </c>
      <c r="H6" s="21" t="s">
        <v>1116</v>
      </c>
    </row>
    <row r="7" spans="1:8" ht="30" customHeight="1">
      <c r="A7" s="14" t="s">
        <v>1112</v>
      </c>
      <c r="B7" s="14" t="s">
        <v>1113</v>
      </c>
      <c r="C7" s="15" t="s">
        <v>1120</v>
      </c>
      <c r="D7" s="16" t="s">
        <v>1121</v>
      </c>
      <c r="E7" s="17">
        <v>2</v>
      </c>
      <c r="F7" s="18" t="s">
        <v>189</v>
      </c>
      <c r="G7" s="16"/>
      <c r="H7" s="16"/>
    </row>
    <row r="8" spans="1:8" ht="30" customHeight="1">
      <c r="A8" s="19" t="s">
        <v>1112</v>
      </c>
      <c r="B8" s="19" t="s">
        <v>1113</v>
      </c>
      <c r="C8" s="20" t="s">
        <v>1122</v>
      </c>
      <c r="D8" s="21" t="s">
        <v>1123</v>
      </c>
      <c r="E8" s="17">
        <v>2</v>
      </c>
      <c r="F8" s="18" t="s">
        <v>50</v>
      </c>
      <c r="G8" s="27" t="s">
        <v>1124</v>
      </c>
      <c r="H8" s="21"/>
    </row>
    <row r="9" spans="1:8" ht="30" customHeight="1">
      <c r="A9" s="14" t="s">
        <v>1112</v>
      </c>
      <c r="B9" s="14" t="s">
        <v>1113</v>
      </c>
      <c r="C9" s="15" t="s">
        <v>1125</v>
      </c>
      <c r="D9" s="16" t="s">
        <v>1126</v>
      </c>
      <c r="E9" s="17">
        <v>2</v>
      </c>
      <c r="F9" s="18" t="s">
        <v>50</v>
      </c>
      <c r="G9" s="16"/>
      <c r="H9" s="16" t="s">
        <v>1127</v>
      </c>
    </row>
    <row r="10" spans="1:8" ht="18" customHeight="1">
      <c r="A10" s="13" t="s">
        <v>1128</v>
      </c>
      <c r="B10" s="13" t="s">
        <v>1129</v>
      </c>
      <c r="C10" s="13"/>
      <c r="D10" s="13"/>
      <c r="E10" s="13"/>
      <c r="F10" s="13"/>
      <c r="G10" s="13"/>
      <c r="H10" s="13"/>
    </row>
    <row r="11" spans="1:8" ht="30" customHeight="1">
      <c r="A11" s="14" t="s">
        <v>1128</v>
      </c>
      <c r="B11" s="14" t="s">
        <v>1129</v>
      </c>
      <c r="C11" s="15" t="s">
        <v>1130</v>
      </c>
      <c r="D11" s="16" t="s">
        <v>1131</v>
      </c>
      <c r="E11" s="17">
        <v>2</v>
      </c>
      <c r="F11" s="18" t="s">
        <v>50</v>
      </c>
      <c r="G11" s="16"/>
      <c r="H11" s="16"/>
    </row>
    <row r="12" spans="1:8" ht="30" customHeight="1">
      <c r="A12" s="19" t="s">
        <v>1128</v>
      </c>
      <c r="B12" s="19" t="s">
        <v>1129</v>
      </c>
      <c r="C12" s="20" t="s">
        <v>1132</v>
      </c>
      <c r="D12" s="21" t="s">
        <v>1133</v>
      </c>
      <c r="E12" s="17">
        <v>2</v>
      </c>
      <c r="F12" s="18" t="s">
        <v>189</v>
      </c>
      <c r="G12" s="21"/>
      <c r="H12" s="21"/>
    </row>
    <row r="13" spans="1:8" ht="30" customHeight="1">
      <c r="A13" s="14" t="s">
        <v>1128</v>
      </c>
      <c r="B13" s="14" t="s">
        <v>1129</v>
      </c>
      <c r="C13" s="15" t="s">
        <v>1134</v>
      </c>
      <c r="D13" s="16" t="s">
        <v>1135</v>
      </c>
      <c r="E13" s="17">
        <v>2</v>
      </c>
      <c r="F13" s="18" t="s">
        <v>50</v>
      </c>
      <c r="G13" s="16"/>
      <c r="H13" s="16"/>
    </row>
    <row r="14" spans="1:8" ht="30" customHeight="1">
      <c r="A14" s="19" t="s">
        <v>1128</v>
      </c>
      <c r="B14" s="19" t="s">
        <v>1129</v>
      </c>
      <c r="C14" s="20" t="s">
        <v>1136</v>
      </c>
      <c r="D14" s="21" t="s">
        <v>1137</v>
      </c>
      <c r="E14" s="17">
        <v>2</v>
      </c>
      <c r="F14" s="18" t="s">
        <v>189</v>
      </c>
      <c r="G14" s="21"/>
      <c r="H14" s="21"/>
    </row>
    <row r="15" spans="1:8" ht="18" customHeight="1">
      <c r="A15" s="13" t="s">
        <v>1138</v>
      </c>
      <c r="B15" s="13" t="s">
        <v>1139</v>
      </c>
      <c r="C15" s="13"/>
      <c r="D15" s="13"/>
      <c r="E15" s="13"/>
      <c r="F15" s="13"/>
      <c r="G15" s="13"/>
      <c r="H15" s="13"/>
    </row>
    <row r="16" spans="1:8" ht="30" customHeight="1">
      <c r="A16" s="14" t="s">
        <v>1138</v>
      </c>
      <c r="B16" s="14" t="s">
        <v>1139</v>
      </c>
      <c r="C16" s="15" t="s">
        <v>1140</v>
      </c>
      <c r="D16" s="16" t="s">
        <v>1141</v>
      </c>
      <c r="E16" s="17">
        <v>2</v>
      </c>
      <c r="F16" s="18" t="s">
        <v>50</v>
      </c>
      <c r="G16" s="16"/>
      <c r="H16" s="16" t="s">
        <v>1142</v>
      </c>
    </row>
    <row r="17" spans="1:8" ht="30" customHeight="1">
      <c r="A17" s="19" t="s">
        <v>1138</v>
      </c>
      <c r="B17" s="19" t="s">
        <v>1139</v>
      </c>
      <c r="C17" s="20" t="s">
        <v>1143</v>
      </c>
      <c r="D17" s="21" t="s">
        <v>1144</v>
      </c>
      <c r="E17" s="17">
        <v>2</v>
      </c>
      <c r="F17" s="18" t="s">
        <v>50</v>
      </c>
      <c r="G17" s="16" t="s">
        <v>1145</v>
      </c>
      <c r="H17" s="21" t="s">
        <v>1116</v>
      </c>
    </row>
    <row r="18" spans="1:8" ht="30" customHeight="1">
      <c r="A18" s="14" t="s">
        <v>1138</v>
      </c>
      <c r="B18" s="14" t="s">
        <v>1139</v>
      </c>
      <c r="C18" s="15" t="s">
        <v>1146</v>
      </c>
      <c r="D18" s="16" t="s">
        <v>1147</v>
      </c>
      <c r="E18" s="17">
        <v>2</v>
      </c>
      <c r="F18" s="18" t="s">
        <v>189</v>
      </c>
      <c r="G18" s="26"/>
      <c r="H18" s="16"/>
    </row>
    <row r="19" spans="1:8" ht="18" customHeight="1">
      <c r="A19" s="13" t="s">
        <v>1148</v>
      </c>
      <c r="B19" s="13" t="s">
        <v>1149</v>
      </c>
      <c r="C19" s="13"/>
      <c r="D19" s="13"/>
      <c r="E19" s="13"/>
      <c r="F19" s="13"/>
      <c r="G19" s="13"/>
      <c r="H19" s="13"/>
    </row>
    <row r="20" spans="1:8" ht="30" customHeight="1">
      <c r="A20" s="14" t="s">
        <v>1148</v>
      </c>
      <c r="B20" s="14" t="s">
        <v>1149</v>
      </c>
      <c r="C20" s="15" t="s">
        <v>1150</v>
      </c>
      <c r="D20" s="16" t="s">
        <v>1151</v>
      </c>
      <c r="E20" s="17">
        <v>2</v>
      </c>
      <c r="F20" s="18" t="s">
        <v>189</v>
      </c>
      <c r="G20" s="16"/>
      <c r="H20" s="16"/>
    </row>
    <row r="21" spans="1:8" ht="30" customHeight="1">
      <c r="A21" s="19" t="s">
        <v>1148</v>
      </c>
      <c r="B21" s="19" t="s">
        <v>1149</v>
      </c>
      <c r="C21" s="20" t="s">
        <v>1152</v>
      </c>
      <c r="D21" s="21" t="s">
        <v>1153</v>
      </c>
      <c r="E21" s="17">
        <v>2</v>
      </c>
      <c r="F21" s="18" t="s">
        <v>189</v>
      </c>
      <c r="G21" s="21"/>
      <c r="H21" s="21"/>
    </row>
    <row r="22" spans="1:8" ht="30" customHeight="1">
      <c r="A22" s="14" t="s">
        <v>1148</v>
      </c>
      <c r="B22" s="14" t="s">
        <v>1149</v>
      </c>
      <c r="C22" s="15" t="s">
        <v>1154</v>
      </c>
      <c r="D22" s="16" t="s">
        <v>1155</v>
      </c>
      <c r="E22" s="17">
        <v>2</v>
      </c>
      <c r="F22" s="18" t="s">
        <v>189</v>
      </c>
      <c r="G22" s="16"/>
      <c r="H22" s="16"/>
    </row>
    <row r="23" spans="1:8" ht="30" customHeight="1">
      <c r="A23" s="19" t="s">
        <v>1148</v>
      </c>
      <c r="B23" s="19" t="s">
        <v>1149</v>
      </c>
      <c r="C23" s="20" t="s">
        <v>1156</v>
      </c>
      <c r="D23" s="21" t="s">
        <v>1157</v>
      </c>
      <c r="E23" s="23">
        <v>3</v>
      </c>
      <c r="F23" s="18" t="s">
        <v>189</v>
      </c>
      <c r="G23" s="21"/>
      <c r="H23" s="21"/>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type="list" allowBlank="1" sqref="F2:F1023" xr:uid="{00000000-0002-0000-10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6"/>
  <sheetViews>
    <sheetView zoomScale="75" zoomScaleNormal="75" workbookViewId="0">
      <pane ySplit="1" topLeftCell="A2" activePane="bottomLeft" state="frozen"/>
      <selection pane="bottomLeft" activeCell="H16" sqref="H16"/>
    </sheetView>
  </sheetViews>
  <sheetFormatPr defaultColWidth="8.5703125" defaultRowHeight="15"/>
  <cols>
    <col min="1" max="1" width="12" customWidth="1"/>
    <col min="2" max="2" width="28" customWidth="1"/>
    <col min="3" max="3" width="12" customWidth="1"/>
    <col min="4" max="4" width="60" customWidth="1"/>
    <col min="5" max="5" width="8" customWidth="1"/>
    <col min="6" max="6" width="16" customWidth="1"/>
    <col min="7" max="7" width="40" customWidth="1"/>
    <col min="8" max="8" width="35" customWidth="1"/>
  </cols>
  <sheetData>
    <row r="1" spans="1:8" ht="27.95" customHeight="1">
      <c r="A1" s="12" t="s">
        <v>33</v>
      </c>
      <c r="B1" s="12" t="s">
        <v>34</v>
      </c>
      <c r="C1" s="12" t="s">
        <v>35</v>
      </c>
      <c r="D1" s="12" t="s">
        <v>36</v>
      </c>
      <c r="E1" s="12" t="s">
        <v>37</v>
      </c>
      <c r="F1" s="12" t="s">
        <v>38</v>
      </c>
      <c r="G1" s="12" t="s">
        <v>39</v>
      </c>
      <c r="H1" s="12" t="s">
        <v>40</v>
      </c>
    </row>
    <row r="2" spans="1:8" ht="18" customHeight="1">
      <c r="A2" s="13" t="s">
        <v>1158</v>
      </c>
      <c r="B2" s="13" t="s">
        <v>1159</v>
      </c>
      <c r="C2" s="13"/>
      <c r="D2" s="13"/>
      <c r="E2" s="13"/>
      <c r="F2" s="13"/>
      <c r="G2" s="13"/>
      <c r="H2" s="13"/>
    </row>
    <row r="3" spans="1:8" ht="30" customHeight="1">
      <c r="A3" s="14" t="s">
        <v>1158</v>
      </c>
      <c r="B3" s="14" t="s">
        <v>1159</v>
      </c>
      <c r="C3" s="15" t="s">
        <v>1160</v>
      </c>
      <c r="D3" s="16" t="s">
        <v>1161</v>
      </c>
      <c r="E3" s="17">
        <v>2</v>
      </c>
      <c r="F3" s="18" t="s">
        <v>59</v>
      </c>
      <c r="G3" s="16" t="s">
        <v>1162</v>
      </c>
      <c r="H3" s="16"/>
    </row>
    <row r="4" spans="1:8" ht="30" customHeight="1">
      <c r="A4" s="19" t="s">
        <v>1158</v>
      </c>
      <c r="B4" s="19" t="s">
        <v>1159</v>
      </c>
      <c r="C4" s="20" t="s">
        <v>1163</v>
      </c>
      <c r="D4" s="21" t="s">
        <v>1164</v>
      </c>
      <c r="E4" s="23">
        <v>3</v>
      </c>
      <c r="F4" s="18" t="s">
        <v>59</v>
      </c>
      <c r="G4" s="16" t="s">
        <v>1162</v>
      </c>
      <c r="H4" s="21"/>
    </row>
    <row r="5" spans="1:8" ht="18" customHeight="1">
      <c r="A5" s="13" t="s">
        <v>1165</v>
      </c>
      <c r="B5" s="13" t="s">
        <v>1166</v>
      </c>
      <c r="C5" s="13"/>
      <c r="D5" s="13"/>
      <c r="E5" s="13"/>
      <c r="F5" s="13"/>
      <c r="G5" s="13"/>
      <c r="H5" s="13"/>
    </row>
    <row r="6" spans="1:8" ht="30" customHeight="1">
      <c r="A6" s="14" t="s">
        <v>1165</v>
      </c>
      <c r="B6" s="14" t="s">
        <v>1166</v>
      </c>
      <c r="C6" s="15" t="s">
        <v>1167</v>
      </c>
      <c r="D6" s="16" t="s">
        <v>1168</v>
      </c>
      <c r="E6" s="17">
        <v>2</v>
      </c>
      <c r="F6" s="18" t="s">
        <v>59</v>
      </c>
      <c r="G6" s="16" t="s">
        <v>1162</v>
      </c>
      <c r="H6" s="16"/>
    </row>
    <row r="7" spans="1:8" ht="30" customHeight="1">
      <c r="A7" s="19" t="s">
        <v>1165</v>
      </c>
      <c r="B7" s="19" t="s">
        <v>1166</v>
      </c>
      <c r="C7" s="20" t="s">
        <v>1169</v>
      </c>
      <c r="D7" s="21" t="s">
        <v>1170</v>
      </c>
      <c r="E7" s="17">
        <v>2</v>
      </c>
      <c r="F7" s="18" t="s">
        <v>59</v>
      </c>
      <c r="G7" s="16" t="s">
        <v>1162</v>
      </c>
      <c r="H7" s="21"/>
    </row>
    <row r="8" spans="1:8" ht="30" customHeight="1">
      <c r="A8" s="14" t="s">
        <v>1165</v>
      </c>
      <c r="B8" s="14" t="s">
        <v>1166</v>
      </c>
      <c r="C8" s="15" t="s">
        <v>1171</v>
      </c>
      <c r="D8" s="16" t="s">
        <v>1172</v>
      </c>
      <c r="E8" s="17">
        <v>2</v>
      </c>
      <c r="F8" s="18" t="s">
        <v>59</v>
      </c>
      <c r="G8" s="16" t="s">
        <v>1162</v>
      </c>
      <c r="H8" s="16"/>
    </row>
    <row r="9" spans="1:8" ht="30" customHeight="1">
      <c r="A9" s="19" t="s">
        <v>1165</v>
      </c>
      <c r="B9" s="19" t="s">
        <v>1166</v>
      </c>
      <c r="C9" s="20" t="s">
        <v>1173</v>
      </c>
      <c r="D9" s="21" t="s">
        <v>1174</v>
      </c>
      <c r="E9" s="17">
        <v>2</v>
      </c>
      <c r="F9" s="18" t="s">
        <v>59</v>
      </c>
      <c r="G9" s="16" t="s">
        <v>1162</v>
      </c>
      <c r="H9" s="21"/>
    </row>
    <row r="10" spans="1:8" ht="30" customHeight="1">
      <c r="A10" s="14" t="s">
        <v>1165</v>
      </c>
      <c r="B10" s="14" t="s">
        <v>1166</v>
      </c>
      <c r="C10" s="15" t="s">
        <v>1175</v>
      </c>
      <c r="D10" s="16" t="s">
        <v>1176</v>
      </c>
      <c r="E10" s="23">
        <v>3</v>
      </c>
      <c r="F10" s="18" t="s">
        <v>59</v>
      </c>
      <c r="G10" s="16" t="s">
        <v>1162</v>
      </c>
      <c r="H10" s="16"/>
    </row>
    <row r="11" spans="1:8" ht="30" customHeight="1">
      <c r="A11" s="19" t="s">
        <v>1165</v>
      </c>
      <c r="B11" s="19" t="s">
        <v>1166</v>
      </c>
      <c r="C11" s="20" t="s">
        <v>1177</v>
      </c>
      <c r="D11" s="21" t="s">
        <v>1178</v>
      </c>
      <c r="E11" s="23">
        <v>3</v>
      </c>
      <c r="F11" s="18" t="s">
        <v>59</v>
      </c>
      <c r="G11" s="16" t="s">
        <v>1162</v>
      </c>
      <c r="H11" s="21"/>
    </row>
    <row r="12" spans="1:8" ht="30" customHeight="1">
      <c r="A12" s="14" t="s">
        <v>1165</v>
      </c>
      <c r="B12" s="14" t="s">
        <v>1166</v>
      </c>
      <c r="C12" s="15" t="s">
        <v>1179</v>
      </c>
      <c r="D12" s="16" t="s">
        <v>1180</v>
      </c>
      <c r="E12" s="23">
        <v>3</v>
      </c>
      <c r="F12" s="18" t="s">
        <v>59</v>
      </c>
      <c r="G12" s="16" t="s">
        <v>1162</v>
      </c>
      <c r="H12" s="16"/>
    </row>
    <row r="13" spans="1:8" ht="30" customHeight="1">
      <c r="A13" s="19" t="s">
        <v>1165</v>
      </c>
      <c r="B13" s="19" t="s">
        <v>1166</v>
      </c>
      <c r="C13" s="20" t="s">
        <v>1181</v>
      </c>
      <c r="D13" s="21" t="s">
        <v>1182</v>
      </c>
      <c r="E13" s="23">
        <v>3</v>
      </c>
      <c r="F13" s="18" t="s">
        <v>59</v>
      </c>
      <c r="G13" s="16" t="s">
        <v>1162</v>
      </c>
      <c r="H13" s="21"/>
    </row>
    <row r="14" spans="1:8" ht="18" customHeight="1">
      <c r="A14" s="13" t="s">
        <v>1183</v>
      </c>
      <c r="B14" s="13" t="s">
        <v>1184</v>
      </c>
      <c r="C14" s="13"/>
      <c r="D14" s="13"/>
      <c r="E14" s="13"/>
      <c r="F14" s="13"/>
      <c r="G14" s="13"/>
      <c r="H14" s="13"/>
    </row>
    <row r="15" spans="1:8" ht="30" customHeight="1">
      <c r="A15" s="14" t="s">
        <v>1183</v>
      </c>
      <c r="B15" s="14" t="s">
        <v>1184</v>
      </c>
      <c r="C15" s="15" t="s">
        <v>1185</v>
      </c>
      <c r="D15" s="16" t="s">
        <v>1186</v>
      </c>
      <c r="E15" s="17">
        <v>2</v>
      </c>
      <c r="F15" s="18" t="s">
        <v>59</v>
      </c>
      <c r="G15" s="16" t="s">
        <v>1162</v>
      </c>
      <c r="H15" s="16"/>
    </row>
    <row r="16" spans="1:8" ht="30" customHeight="1">
      <c r="A16" s="19" t="s">
        <v>1183</v>
      </c>
      <c r="B16" s="19" t="s">
        <v>1184</v>
      </c>
      <c r="C16" s="20" t="s">
        <v>1187</v>
      </c>
      <c r="D16" s="21" t="s">
        <v>1188</v>
      </c>
      <c r="E16" s="17">
        <v>2</v>
      </c>
      <c r="F16" s="18" t="s">
        <v>59</v>
      </c>
      <c r="G16" s="16" t="s">
        <v>1162</v>
      </c>
      <c r="H16" s="21"/>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disablePrompts="1" count="1">
    <dataValidation type="list" allowBlank="1" sqref="F2:F1016" xr:uid="{00000000-0002-0000-1100-000000000000}">
      <formula1>"Not Started,In Progress,Compliant,Not Applicable"</formula1>
      <formula2>0</formula2>
    </dataValidation>
  </dataValidations>
  <pageMargins left="0.75" right="0.75" top="1" bottom="1" header="0.51180555555555496" footer="0.51180555555555496"/>
  <pageSetup firstPageNumber="0"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1E41BBC5C8CD641B6746D45ADFD8EA5" ma:contentTypeVersion="1" ma:contentTypeDescription="Create a new document." ma:contentTypeScope="" ma:versionID="bbffb40ea21a98f31a812fb783a062df">
  <xsd:schema xmlns:xsd="http://www.w3.org/2001/XMLSchema" xmlns:xs="http://www.w3.org/2001/XMLSchema" xmlns:p="http://schemas.microsoft.com/office/2006/metadata/properties" xmlns:ns3="7b083c7a-3505-49fb-92d3-919d77311558" targetNamespace="http://schemas.microsoft.com/office/2006/metadata/properties" ma:root="true" ma:fieldsID="3ea4ada22ed5b7e2cc04a90207ced124" ns3:_="">
    <xsd:import namespace="7b083c7a-3505-49fb-92d3-919d77311558"/>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083c7a-3505-49fb-92d3-919d7731155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BD74F4-2FAD-491C-919C-B32E847404CF}"/>
</file>

<file path=customXml/itemProps2.xml><?xml version="1.0" encoding="utf-8"?>
<ds:datastoreItem xmlns:ds="http://schemas.openxmlformats.org/officeDocument/2006/customXml" ds:itemID="{517ECBBC-1B0E-4A92-B732-3F8786F395D1}"/>
</file>

<file path=customXml/itemProps3.xml><?xml version="1.0" encoding="utf-8"?>
<ds:datastoreItem xmlns:ds="http://schemas.openxmlformats.org/officeDocument/2006/customXml" ds:itemID="{982FAC23-07DC-47C5-8379-F3E9285A6E1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3</cp:revision>
  <dcterms:created xsi:type="dcterms:W3CDTF">2026-03-04T10:14:28Z</dcterms:created>
  <dcterms:modified xsi:type="dcterms:W3CDTF">2026-06-18T19:35:38Z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3.1</vt:lpwstr>
  </property>
  <property fmtid="{D5CDD505-2E9C-101B-9397-08002B2CF9AE}" pid="3" name="ContentTypeId">
    <vt:lpwstr>0x01010071E41BBC5C8CD641B6746D45ADFD8EA5</vt:lpwstr>
  </property>
</Properties>
</file>